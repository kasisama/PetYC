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Kass\AppData\Local\Temp\pet-xlsx-2_zcvgex\"/>
    </mc:Choice>
  </mc:AlternateContent>
  <xr:revisionPtr revIDLastSave="0" documentId="13_ncr:1_{51F34628-93F5-4398-BA3A-47939287E5E0}" xr6:coauthVersionLast="47" xr6:coauthVersionMax="47" xr10:uidLastSave="{00000000-0000-0000-0000-000000000000}"/>
  <bookViews>
    <workbookView xWindow="780" yWindow="780" windowWidth="21600" windowHeight="11235" xr2:uid="{00000000-000D-0000-FFFF-FFFF00000000}"/>
  </bookViews>
  <sheets>
    <sheet name="总览" sheetId="1" r:id="rId1"/>
    <sheet name="宠物形态" sheetId="2" r:id="rId2"/>
    <sheet name="进化链与消耗" sheetId="3" r:id="rId3"/>
    <sheet name="等级曲线" sheetId="4" r:id="rId4"/>
    <sheet name="统一物品" sheetId="5" r:id="rId5"/>
    <sheet name="货币与经济" sheetId="6" r:id="rId6"/>
    <sheet name="常规商店" sheetId="7" r:id="rId7"/>
    <sheet name="赛季商店" sheetId="8" r:id="rId8"/>
    <sheet name="地图与区域" sheetId="9" r:id="rId9"/>
    <sheet name="怪物" sheetId="10" r:id="rId10"/>
    <sheet name="技能" sheetId="11" r:id="rId11"/>
    <sheet name="装备模板" sheetId="12" r:id="rId12"/>
    <sheet name="词条池" sheetId="13" r:id="rId13"/>
    <sheet name="配方与分解" sheetId="14" r:id="rId14"/>
    <sheet name="掉落池" sheetId="15" r:id="rId15"/>
    <sheet name="70天活动" sheetId="16" r:id="rId16"/>
    <sheet name="20档奖励轨" sheetId="17" r:id="rId17"/>
    <sheet name="模拟结果" sheetId="18" r:id="rId18"/>
    <sheet name="资产需求" sheetId="19" r:id="rId19"/>
    <sheet name="校验结果" sheetId="20" r:id="rId20"/>
  </sheets>
  <definedNames>
    <definedName name="_xlnm._FilterDatabase" localSheetId="16" hidden="1">'20档奖励轨'!$A$1:$G$21</definedName>
    <definedName name="_xlnm._FilterDatabase" localSheetId="15" hidden="1">'70天活动'!$A$1:$F$2</definedName>
    <definedName name="_xlnm._FilterDatabase" localSheetId="6" hidden="1">常规商店!$A$1:$F$19</definedName>
    <definedName name="_xlnm._FilterDatabase" localSheetId="1" hidden="1">宠物形态!$A$1:$K$21</definedName>
    <definedName name="_xlnm._FilterDatabase" localSheetId="12" hidden="1">词条池!$A$1:$F$31</definedName>
    <definedName name="_xlnm._FilterDatabase" localSheetId="8" hidden="1">地图与区域!$A$1:$F$13</definedName>
    <definedName name="_xlnm._FilterDatabase" localSheetId="3" hidden="1">等级曲线!$A$1:$D$26</definedName>
    <definedName name="_xlnm._FilterDatabase" localSheetId="14" hidden="1">掉落池!$A$1:$G$89</definedName>
    <definedName name="_xlnm._FilterDatabase" localSheetId="9" hidden="1">怪物!$A$1:$G$34</definedName>
    <definedName name="_xlnm._FilterDatabase" localSheetId="5" hidden="1">货币与经济!$A$1:$G$4</definedName>
    <definedName name="_xlnm._FilterDatabase" localSheetId="10" hidden="1">技能!$A$1:$E$31</definedName>
    <definedName name="_xlnm._FilterDatabase" localSheetId="2" hidden="1">进化链与消耗!$A$1:$I$16</definedName>
    <definedName name="_xlnm._FilterDatabase" localSheetId="17" hidden="1">模拟结果!$A$1:$J$4</definedName>
    <definedName name="_xlnm._FilterDatabase" localSheetId="13" hidden="1">配方与分解!$A$1:$J$13</definedName>
    <definedName name="_xlnm._FilterDatabase" localSheetId="7" hidden="1">赛季商店!$A$1:$I$12</definedName>
    <definedName name="_xlnm._FilterDatabase" localSheetId="4" hidden="1">统一物品!$A$1:$G$46</definedName>
    <definedName name="_xlnm._FilterDatabase" localSheetId="19" hidden="1">校验结果!$A$1:$D$16</definedName>
    <definedName name="_xlnm._FilterDatabase" localSheetId="11" hidden="1">装备模板!$A$1:$I$31</definedName>
    <definedName name="_xlnm._FilterDatabase" localSheetId="18" hidden="1">资产需求!$A$1:$D$84</definedName>
    <definedName name="_xlnm._FilterDatabase" localSheetId="0" hidden="1">总览!$A$1:$D$18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0" l="1"/>
  <c r="D15" i="20"/>
  <c r="D14" i="20"/>
  <c r="D13" i="20"/>
  <c r="D12" i="20"/>
  <c r="D11" i="20"/>
  <c r="D10" i="20"/>
  <c r="D9" i="20"/>
  <c r="D8" i="20"/>
  <c r="D7" i="20"/>
  <c r="D6" i="20"/>
  <c r="D5" i="20"/>
  <c r="D4" i="20"/>
  <c r="D3" i="20"/>
  <c r="D2" i="20"/>
  <c r="D15" i="18"/>
  <c r="D14" i="18"/>
  <c r="D13" i="18"/>
  <c r="B11" i="18"/>
  <c r="B9" i="18"/>
  <c r="B8" i="18"/>
  <c r="B7" i="18"/>
  <c r="B6" i="18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I13" i="14"/>
  <c r="F13" i="14"/>
  <c r="J13" i="14" s="1"/>
  <c r="I12" i="14"/>
  <c r="F12" i="14"/>
  <c r="J12" i="14" s="1"/>
  <c r="I11" i="14"/>
  <c r="F11" i="14"/>
  <c r="J11" i="14" s="1"/>
  <c r="I10" i="14"/>
  <c r="F10" i="14"/>
  <c r="J10" i="14" s="1"/>
  <c r="I9" i="14"/>
  <c r="J9" i="14" s="1"/>
  <c r="F9" i="14"/>
  <c r="I8" i="14"/>
  <c r="F8" i="14"/>
  <c r="I7" i="14"/>
  <c r="J7" i="14" s="1"/>
  <c r="F7" i="14"/>
  <c r="I6" i="14"/>
  <c r="F6" i="14"/>
  <c r="J6" i="14" s="1"/>
  <c r="I5" i="14"/>
  <c r="F5" i="14"/>
  <c r="J5" i="14" s="1"/>
  <c r="I4" i="14"/>
  <c r="F4" i="14"/>
  <c r="I3" i="14"/>
  <c r="F3" i="14"/>
  <c r="J3" i="14" s="1"/>
  <c r="I2" i="14"/>
  <c r="F2" i="14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I12" i="8"/>
  <c r="I11" i="8"/>
  <c r="I10" i="8"/>
  <c r="I9" i="8"/>
  <c r="I8" i="8"/>
  <c r="I7" i="8"/>
  <c r="I6" i="8"/>
  <c r="I5" i="8"/>
  <c r="I4" i="8"/>
  <c r="I3" i="8"/>
  <c r="I2" i="8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G4" i="6"/>
  <c r="G3" i="6"/>
  <c r="G2" i="6"/>
  <c r="C2" i="4"/>
  <c r="C3" i="4" s="1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H21" i="2"/>
  <c r="I21" i="2" s="1"/>
  <c r="H20" i="2"/>
  <c r="H19" i="2"/>
  <c r="I19" i="2" s="1"/>
  <c r="H18" i="2"/>
  <c r="H17" i="2"/>
  <c r="I17" i="2" s="1"/>
  <c r="H16" i="2"/>
  <c r="I15" i="2"/>
  <c r="H15" i="2"/>
  <c r="H14" i="2"/>
  <c r="H13" i="2"/>
  <c r="I13" i="2" s="1"/>
  <c r="H12" i="2"/>
  <c r="H11" i="2"/>
  <c r="I11" i="2" s="1"/>
  <c r="I10" i="2"/>
  <c r="H10" i="2"/>
  <c r="I9" i="2"/>
  <c r="H9" i="2"/>
  <c r="H8" i="2"/>
  <c r="I7" i="2"/>
  <c r="H7" i="2"/>
  <c r="H6" i="2"/>
  <c r="H5" i="2"/>
  <c r="I5" i="2" s="1"/>
  <c r="I4" i="2"/>
  <c r="H4" i="2"/>
  <c r="H3" i="2"/>
  <c r="I3" i="2" s="1"/>
  <c r="H2" i="2"/>
  <c r="I16" i="2" s="1"/>
  <c r="B18" i="1"/>
  <c r="J8" i="14" l="1"/>
  <c r="J4" i="14"/>
  <c r="I20" i="2"/>
  <c r="J2" i="14"/>
  <c r="C4" i="4"/>
  <c r="D3" i="4"/>
  <c r="D2" i="4"/>
  <c r="I6" i="2"/>
  <c r="I12" i="2"/>
  <c r="I18" i="2"/>
  <c r="I2" i="2"/>
  <c r="I8" i="2"/>
  <c r="I14" i="2"/>
  <c r="C5" i="4" l="1"/>
  <c r="D4" i="4"/>
  <c r="C6" i="4" l="1"/>
  <c r="D5" i="4"/>
  <c r="D6" i="4" l="1"/>
  <c r="C7" i="4"/>
  <c r="D7" i="4" l="1"/>
  <c r="C8" i="4"/>
  <c r="C9" i="4" l="1"/>
  <c r="D8" i="4"/>
  <c r="C10" i="4" l="1"/>
  <c r="D9" i="4"/>
  <c r="C11" i="4" l="1"/>
  <c r="D10" i="4"/>
  <c r="C12" i="4" l="1"/>
  <c r="D11" i="4"/>
  <c r="D12" i="4" l="1"/>
  <c r="C13" i="4"/>
  <c r="D13" i="4" l="1"/>
  <c r="C14" i="4"/>
  <c r="C15" i="4" l="1"/>
  <c r="D14" i="4"/>
  <c r="C16" i="4" l="1"/>
  <c r="D15" i="4"/>
  <c r="D16" i="4" l="1"/>
  <c r="C17" i="4"/>
  <c r="C18" i="4" l="1"/>
  <c r="D17" i="4"/>
  <c r="D18" i="4" l="1"/>
  <c r="C19" i="4"/>
  <c r="C20" i="4" l="1"/>
  <c r="D19" i="4"/>
  <c r="C21" i="4" l="1"/>
  <c r="D20" i="4"/>
  <c r="C22" i="4" l="1"/>
  <c r="D21" i="4"/>
  <c r="C23" i="4" l="1"/>
  <c r="D22" i="4"/>
  <c r="C24" i="4" l="1"/>
  <c r="D23" i="4"/>
  <c r="D24" i="4" l="1"/>
  <c r="C25" i="4"/>
  <c r="C26" i="4" l="1"/>
  <c r="D26" i="4" s="1"/>
  <c r="D25" i="4"/>
</calcChain>
</file>

<file path=xl/sharedStrings.xml><?xml version="1.0" encoding="utf-8"?>
<sst xmlns="http://schemas.openxmlformats.org/spreadsheetml/2006/main" count="1996" uniqueCount="715">
  <si>
    <t>指标</t>
  </si>
  <si>
    <t>数值</t>
  </si>
  <si>
    <t>公式/来源</t>
  </si>
  <si>
    <t>目标</t>
  </si>
  <si>
    <t>宠物形态</t>
  </si>
  <si>
    <t>COUNTA(宠物形态!A:A)-1</t>
  </si>
  <si>
    <t>20</t>
  </si>
  <si>
    <t>谱系</t>
  </si>
  <si>
    <t>去重</t>
  </si>
  <si>
    <t>5</t>
  </si>
  <si>
    <t>统一物品</t>
  </si>
  <si>
    <t>COUNTA(统一物品!A:A)-1</t>
  </si>
  <si>
    <t>45</t>
  </si>
  <si>
    <t>货币</t>
  </si>
  <si>
    <t>COUNTA(货币与经济!A:A)-1</t>
  </si>
  <si>
    <t>3</t>
  </si>
  <si>
    <t>地图</t>
  </si>
  <si>
    <t>COUNTA(地图与区域!A:A)-1</t>
  </si>
  <si>
    <t>区域</t>
  </si>
  <si>
    <t>COUNTA</t>
  </si>
  <si>
    <t>12</t>
  </si>
  <si>
    <t>怪物</t>
  </si>
  <si>
    <t>COUNTA(怪物!A:A)-1</t>
  </si>
  <si>
    <t>&gt;=33</t>
  </si>
  <si>
    <t>技能</t>
  </si>
  <si>
    <t>COUNTA(技能!A:A)-1</t>
  </si>
  <si>
    <t>&gt;=30</t>
  </si>
  <si>
    <t>装备</t>
  </si>
  <si>
    <t>COUNTA(装备模板!A:A)-1</t>
  </si>
  <si>
    <t>词条</t>
  </si>
  <si>
    <t>COUNTA(词条池!A:A)-1</t>
  </si>
  <si>
    <t>配方</t>
  </si>
  <si>
    <t>COUNTA(配方与分解!A:A)-1</t>
  </si>
  <si>
    <t>&gt;=12</t>
  </si>
  <si>
    <t>奖励轨</t>
  </si>
  <si>
    <t>COUNTA('20档奖励轨'!A:A)-1</t>
  </si>
  <si>
    <t>标准日收入下限</t>
  </si>
  <si>
    <t>输入</t>
  </si>
  <si>
    <t>250</t>
  </si>
  <si>
    <t>标准日收入上限</t>
  </si>
  <si>
    <t>350</t>
  </si>
  <si>
    <t>标准日消耗下限</t>
  </si>
  <si>
    <t>180</t>
  </si>
  <si>
    <t>标准日消耗上限</t>
  </si>
  <si>
    <t>280</t>
  </si>
  <si>
    <t>日净流入中值</t>
  </si>
  <si>
    <t>(收入中值-消耗中值)</t>
  </si>
  <si>
    <t>约 70</t>
  </si>
  <si>
    <t>key</t>
  </si>
  <si>
    <t>name</t>
  </si>
  <si>
    <t>family</t>
  </si>
  <si>
    <t>stage</t>
  </si>
  <si>
    <t>wisdom</t>
  </si>
  <si>
    <t>strength</t>
  </si>
  <si>
    <t>defense</t>
  </si>
  <si>
    <t>budget</t>
  </si>
  <si>
    <t>delta</t>
  </si>
  <si>
    <t>adoptable</t>
  </si>
  <si>
    <t>image</t>
  </si>
  <si>
    <t>lumisprout_base</t>
  </si>
  <si>
    <t>光芽兽</t>
  </si>
  <si>
    <t>lumisprout</t>
  </si>
  <si>
    <t>base</t>
  </si>
  <si>
    <t>待绘制</t>
  </si>
  <si>
    <t>lumisprout_evolved</t>
  </si>
  <si>
    <t>曜叶兽</t>
  </si>
  <si>
    <t>evolved</t>
  </si>
  <si>
    <t>lumisprout_awaken_a</t>
  </si>
  <si>
    <t>曦冠灵</t>
  </si>
  <si>
    <t>awakened</t>
  </si>
  <si>
    <t>lumisprout_awaken_b</t>
  </si>
  <si>
    <t>月荫灵</t>
  </si>
  <si>
    <t>mosswhisk_base</t>
  </si>
  <si>
    <t>苔须灵</t>
  </si>
  <si>
    <t>mosswhisk</t>
  </si>
  <si>
    <t>mosswhisk_evolved</t>
  </si>
  <si>
    <t>苔语贤者</t>
  </si>
  <si>
    <t>mosswhisk_awaken_a</t>
  </si>
  <si>
    <t>森语祭司</t>
  </si>
  <si>
    <t>mosswhisk_awaken_b</t>
  </si>
  <si>
    <t>回响学者</t>
  </si>
  <si>
    <t>emberpaw_base</t>
  </si>
  <si>
    <t>烬爪兽</t>
  </si>
  <si>
    <t>emberpaw</t>
  </si>
  <si>
    <t>emberpaw_evolved</t>
  </si>
  <si>
    <t>炎纹猎手</t>
  </si>
  <si>
    <t>emberpaw_awaken_a</t>
  </si>
  <si>
    <t>炽阳斗士</t>
  </si>
  <si>
    <t>emberpaw_awaken_b</t>
  </si>
  <si>
    <t>余烬游侠</t>
  </si>
  <si>
    <t>stoneback_base</t>
  </si>
  <si>
    <t>岩甲犀</t>
  </si>
  <si>
    <t>stoneback</t>
  </si>
  <si>
    <t>stoneback_evolved</t>
  </si>
  <si>
    <t>岩脊守卫</t>
  </si>
  <si>
    <t>stoneback_awaken_a</t>
  </si>
  <si>
    <t>山岳壁垒</t>
  </si>
  <si>
    <t>stoneback_awaken_b</t>
  </si>
  <si>
    <t>晶壳卫士</t>
  </si>
  <si>
    <t>galeear_base</t>
  </si>
  <si>
    <t>风耳狐</t>
  </si>
  <si>
    <t>galeear</t>
  </si>
  <si>
    <t>galeear_evolved</t>
  </si>
  <si>
    <t>逐风灵狐</t>
  </si>
  <si>
    <t>galeear_awaken_a</t>
  </si>
  <si>
    <t>天际追猎者</t>
  </si>
  <si>
    <t>galeear_awaken_b</t>
  </si>
  <si>
    <t>岚影侦察官</t>
  </si>
  <si>
    <t>rule</t>
  </si>
  <si>
    <t>from</t>
  </si>
  <si>
    <t>to</t>
  </si>
  <si>
    <t>branch</t>
  </si>
  <si>
    <t>growth</t>
  </si>
  <si>
    <t>affection</t>
  </si>
  <si>
    <t>items</t>
  </si>
  <si>
    <t>enabled</t>
  </si>
  <si>
    <t>check</t>
  </si>
  <si>
    <t>lumisprout_standard</t>
  </si>
  <si>
    <t>标准进化</t>
  </si>
  <si>
    <t>resonance_seed*1</t>
  </si>
  <si>
    <t>lumisprout_branch_a</t>
  </si>
  <si>
    <t>曦光路线</t>
  </si>
  <si>
    <t>dawn_core*3</t>
  </si>
  <si>
    <t>lumisprout_branch_b</t>
  </si>
  <si>
    <t>月影路线</t>
  </si>
  <si>
    <t>mist_core*3</t>
  </si>
  <si>
    <t>mosswhisk_standard</t>
  </si>
  <si>
    <t>mosswhisk_branch_a</t>
  </si>
  <si>
    <t>mosswhisk_branch_b</t>
  </si>
  <si>
    <t>emberpaw_standard</t>
  </si>
  <si>
    <t>emberpaw_branch_a</t>
  </si>
  <si>
    <t>emberpaw_branch_b</t>
  </si>
  <si>
    <t>stoneback_standard</t>
  </si>
  <si>
    <t>stoneback_branch_a</t>
  </si>
  <si>
    <t>stoneback_branch_b</t>
  </si>
  <si>
    <t>galeear_standard</t>
  </si>
  <si>
    <t>galeear_branch_a</t>
  </si>
  <si>
    <t>galeear_branch_b</t>
  </si>
  <si>
    <t>level</t>
  </si>
  <si>
    <t>xp_to_next</t>
  </si>
  <si>
    <t>累计经验</t>
  </si>
  <si>
    <t>预计达到日</t>
  </si>
  <si>
    <t>category</t>
  </si>
  <si>
    <t>rarity</t>
  </si>
  <si>
    <t>usage</t>
  </si>
  <si>
    <t>sell_price</t>
  </si>
  <si>
    <t>field_ration</t>
  </si>
  <si>
    <t>调查便当</t>
  </si>
  <si>
    <t>consumable</t>
  </si>
  <si>
    <t>common</t>
  </si>
  <si>
    <t>陪伴、探索、制造或收藏</t>
  </si>
  <si>
    <t>morning_berry</t>
  </si>
  <si>
    <t>晨露果</t>
  </si>
  <si>
    <t>warm_soup</t>
  </si>
  <si>
    <t>暖叶汤</t>
  </si>
  <si>
    <t>focus_tea</t>
  </si>
  <si>
    <t>清神茶</t>
  </si>
  <si>
    <t>bandage</t>
  </si>
  <si>
    <t>软藤绷带</t>
  </si>
  <si>
    <t>camp_kit</t>
  </si>
  <si>
    <t>便携营具</t>
  </si>
  <si>
    <t>energy_biscuit</t>
  </si>
  <si>
    <t>活力脆饼</t>
  </si>
  <si>
    <t>mist_antidote</t>
  </si>
  <si>
    <t>祛雾药剂</t>
  </si>
  <si>
    <t>wind_chime</t>
  </si>
  <si>
    <t>风铃草结</t>
  </si>
  <si>
    <t>gift</t>
  </si>
  <si>
    <t>shell_music_box</t>
  </si>
  <si>
    <t>潮音匣</t>
  </si>
  <si>
    <t>sunny_postcard</t>
  </si>
  <si>
    <t>晴野明信片</t>
  </si>
  <si>
    <t>polished_stone</t>
  </si>
  <si>
    <t>温润卵石</t>
  </si>
  <si>
    <t>feather_toy</t>
  </si>
  <si>
    <t>轻羽玩具</t>
  </si>
  <si>
    <t>story_book</t>
  </si>
  <si>
    <t>遗迹故事册</t>
  </si>
  <si>
    <t>wisdom_notes</t>
  </si>
  <si>
    <t>观察笔记</t>
  </si>
  <si>
    <t>training</t>
  </si>
  <si>
    <t>fine</t>
  </si>
  <si>
    <t>strength_band</t>
  </si>
  <si>
    <t>负重藤环</t>
  </si>
  <si>
    <t>defense_pad</t>
  </si>
  <si>
    <t>岩绒护垫</t>
  </si>
  <si>
    <t>agility_ribbon</t>
  </si>
  <si>
    <t>追风缎带</t>
  </si>
  <si>
    <t>meadow_fiber</t>
  </si>
  <si>
    <t>原野纤维</t>
  </si>
  <si>
    <t>material</t>
  </si>
  <si>
    <t>glow_pollen</t>
  </si>
  <si>
    <t>微光花粉</t>
  </si>
  <si>
    <t>clear_dew</t>
  </si>
  <si>
    <t>澄澈露珠</t>
  </si>
  <si>
    <t>tide_shell</t>
  </si>
  <si>
    <t>潮纹贝片</t>
  </si>
  <si>
    <t>ruin_gear</t>
  </si>
  <si>
    <t>遗迹齿轮</t>
  </si>
  <si>
    <t>salt_crystal</t>
  </si>
  <si>
    <t>盐晶砂</t>
  </si>
  <si>
    <t>mist_wood</t>
  </si>
  <si>
    <t>雾纹木</t>
  </si>
  <si>
    <t>spore_dust</t>
  </si>
  <si>
    <t>孢光粉</t>
  </si>
  <si>
    <t>ancient_bark</t>
  </si>
  <si>
    <t>古树皮</t>
  </si>
  <si>
    <t>soft_clay</t>
  </si>
  <si>
    <t>柔韧陶土</t>
  </si>
  <si>
    <t>copper_thread</t>
  </si>
  <si>
    <t>导能铜丝</t>
  </si>
  <si>
    <t>survey_ink</t>
  </si>
  <si>
    <t>调查墨水</t>
  </si>
  <si>
    <t>dawn_core</t>
  </si>
  <si>
    <t>晨曦晶核</t>
  </si>
  <si>
    <t>evolution</t>
  </si>
  <si>
    <t>rare</t>
  </si>
  <si>
    <t>tide_core</t>
  </si>
  <si>
    <t>潮痕晶核</t>
  </si>
  <si>
    <t>mist_core</t>
  </si>
  <si>
    <t>雾冠晶核</t>
  </si>
  <si>
    <t>resonance_seed</t>
  </si>
  <si>
    <t>共鸣之种</t>
  </si>
  <si>
    <t>star_core</t>
  </si>
  <si>
    <t>星辉晶核</t>
  </si>
  <si>
    <t>prairie_horn</t>
  </si>
  <si>
    <t>原野王角</t>
  </si>
  <si>
    <t>boss_material</t>
  </si>
  <si>
    <t>epic</t>
  </si>
  <si>
    <t>tide_lens</t>
  </si>
  <si>
    <t>潮眼透镜</t>
  </si>
  <si>
    <t>forest_heart</t>
  </si>
  <si>
    <t>森冠心木</t>
  </si>
  <si>
    <t>season_memento</t>
  </si>
  <si>
    <t>首季纪念叶</t>
  </si>
  <si>
    <t>event</t>
  </si>
  <si>
    <t>build_mark</t>
  </si>
  <si>
    <t>共建标识</t>
  </si>
  <si>
    <t>ruin_ticket</t>
  </si>
  <si>
    <t>遗迹抽签券</t>
  </si>
  <si>
    <t>pressed_flower</t>
  </si>
  <si>
    <t>栖光压花</t>
  </si>
  <si>
    <t>collectible</t>
  </si>
  <si>
    <t>echo_shell</t>
  </si>
  <si>
    <t>回声贝</t>
  </si>
  <si>
    <t>fog_map</t>
  </si>
  <si>
    <t>雾林手绘图</t>
  </si>
  <si>
    <t>survey_badge_pin</t>
  </si>
  <si>
    <t>调查纪念章</t>
  </si>
  <si>
    <t>description</t>
  </si>
  <si>
    <t>source</t>
  </si>
  <si>
    <t>sink</t>
  </si>
  <si>
    <t>loop</t>
  </si>
  <si>
    <t>primary_coin</t>
  </si>
  <si>
    <t>星砂</t>
  </si>
  <si>
    <t>陪伴、商店与常规活动使用的主货币</t>
  </si>
  <si>
    <t>签到/打工</t>
  </si>
  <si>
    <t>常规商店</t>
  </si>
  <si>
    <t>journey_badge</t>
  </si>
  <si>
    <t>调查徽章</t>
  </si>
  <si>
    <t>跨赛季保留的永久调查货币</t>
  </si>
  <si>
    <t>区域掉落</t>
  </si>
  <si>
    <t>调查商店</t>
  </si>
  <si>
    <t>season_token</t>
  </si>
  <si>
    <t>遗迹季印</t>
  </si>
  <si>
    <t>仅在当前赛季有效，赛季结束时重置</t>
  </si>
  <si>
    <t>赛季商店</t>
  </si>
  <si>
    <t>price</t>
  </si>
  <si>
    <t>shop_type</t>
  </si>
  <si>
    <t>stock</t>
  </si>
  <si>
    <t>currency</t>
  </si>
  <si>
    <t>shop_normal</t>
  </si>
  <si>
    <t>product</t>
  </si>
  <si>
    <t>type</t>
  </si>
  <si>
    <t>limit_type</t>
  </si>
  <si>
    <t>limit_qty</t>
  </si>
  <si>
    <t>survey_shop_field_ration</t>
  </si>
  <si>
    <t>item</t>
  </si>
  <si>
    <t>daily</t>
  </si>
  <si>
    <t>survey_shop_bandage</t>
  </si>
  <si>
    <t>survey_shop_survey_ink</t>
  </si>
  <si>
    <t>weekly</t>
  </si>
  <si>
    <t>survey_shop_resonance_seed</t>
  </si>
  <si>
    <t>survey_shop_dawn_core</t>
  </si>
  <si>
    <t>lifetime</t>
  </si>
  <si>
    <t>survey_shop_mist_core</t>
  </si>
  <si>
    <t>season_shop_field_ration</t>
  </si>
  <si>
    <t>season</t>
  </si>
  <si>
    <t>season_shop_bandage</t>
  </si>
  <si>
    <t>season_shop_resonance_seed</t>
  </si>
  <si>
    <t>season_shop_survey_badge_pin</t>
  </si>
  <si>
    <t>season_shop_season_memento</t>
  </si>
  <si>
    <t>map_key</t>
  </si>
  <si>
    <t>map_name</t>
  </si>
  <si>
    <t>zone_key</t>
  </si>
  <si>
    <t>zone_name</t>
  </si>
  <si>
    <t>hunger</t>
  </si>
  <si>
    <t>sunlit_steppe</t>
  </si>
  <si>
    <t>栖光原野</t>
  </si>
  <si>
    <t>sunlit_steppe_z1</t>
  </si>
  <si>
    <t>萤草坡</t>
  </si>
  <si>
    <t>sunlit_steppe_z2</t>
  </si>
  <si>
    <t>风车溪谷</t>
  </si>
  <si>
    <t>sunlit_steppe_z3</t>
  </si>
  <si>
    <t>石环牧径</t>
  </si>
  <si>
    <t>sunlit_steppe_z4</t>
  </si>
  <si>
    <t>日落高台</t>
  </si>
  <si>
    <t>tide_ruins</t>
  </si>
  <si>
    <t>潮痕遗址</t>
  </si>
  <si>
    <t>tide_ruins_z1</t>
  </si>
  <si>
    <t>退潮长廊</t>
  </si>
  <si>
    <t>tide_ruins_z2</t>
  </si>
  <si>
    <t>回声工坊</t>
  </si>
  <si>
    <t>tide_ruins_z3</t>
  </si>
  <si>
    <t>盐晶中庭</t>
  </si>
  <si>
    <t>tide_ruins_z4</t>
  </si>
  <si>
    <t>潮眼核心</t>
  </si>
  <si>
    <t>mist_crown_forest</t>
  </si>
  <si>
    <t>雾冠深林</t>
  </si>
  <si>
    <t>mist_crown_forest_z1</t>
  </si>
  <si>
    <t>孢光浅径</t>
  </si>
  <si>
    <t>mist_crown_forest_z2</t>
  </si>
  <si>
    <t>倒悬根谷</t>
  </si>
  <si>
    <t>mist_crown_forest_z3</t>
  </si>
  <si>
    <t>雾钟圣所</t>
  </si>
  <si>
    <t>mist_crown_forest_z4</t>
  </si>
  <si>
    <t>冠层心庭</t>
  </si>
  <si>
    <t>hp</t>
  </si>
  <si>
    <t>atk</t>
  </si>
  <si>
    <t>def</t>
  </si>
  <si>
    <t>elite</t>
  </si>
  <si>
    <t>normal_01</t>
  </si>
  <si>
    <t>萤绒团</t>
  </si>
  <si>
    <t>normal_02</t>
  </si>
  <si>
    <t>草铃雀</t>
  </si>
  <si>
    <t>normal_03</t>
  </si>
  <si>
    <t>坡角鼹</t>
  </si>
  <si>
    <t>normal_04</t>
  </si>
  <si>
    <t>溪纹蜥</t>
  </si>
  <si>
    <t>normal_05</t>
  </si>
  <si>
    <t>风籽蜂</t>
  </si>
  <si>
    <t>normal_06</t>
  </si>
  <si>
    <t>石环蟹</t>
  </si>
  <si>
    <t>normal_07</t>
  </si>
  <si>
    <t>牧径獾</t>
  </si>
  <si>
    <t>normal_08</t>
  </si>
  <si>
    <t>暮光蛾</t>
  </si>
  <si>
    <t>normal_09</t>
  </si>
  <si>
    <t>贝甲虫</t>
  </si>
  <si>
    <t>normal_10</t>
  </si>
  <si>
    <t>潮纹鳗</t>
  </si>
  <si>
    <t>normal_11</t>
  </si>
  <si>
    <t>齿轮寄居蟹</t>
  </si>
  <si>
    <t>normal_12</t>
  </si>
  <si>
    <t>回声水母</t>
  </si>
  <si>
    <t>normal_13</t>
  </si>
  <si>
    <t>盐晶蜗</t>
  </si>
  <si>
    <t>normal_14</t>
  </si>
  <si>
    <t>锈羽鸥</t>
  </si>
  <si>
    <t>normal_15</t>
  </si>
  <si>
    <t>古管蛇</t>
  </si>
  <si>
    <t>normal_16</t>
  </si>
  <si>
    <t>潮眼鳐</t>
  </si>
  <si>
    <t>normal_17</t>
  </si>
  <si>
    <t>孢灯虫</t>
  </si>
  <si>
    <t>normal_18</t>
  </si>
  <si>
    <t>雾茸兔</t>
  </si>
  <si>
    <t>normal_19</t>
  </si>
  <si>
    <t>根谷螳</t>
  </si>
  <si>
    <t>normal_20</t>
  </si>
  <si>
    <t>藤面猿</t>
  </si>
  <si>
    <t>normal_21</t>
  </si>
  <si>
    <t>钟叶蝶</t>
  </si>
  <si>
    <t>normal_22</t>
  </si>
  <si>
    <t>苔冠鹿</t>
  </si>
  <si>
    <t>normal_23</t>
  </si>
  <si>
    <t>空枝鸮</t>
  </si>
  <si>
    <t>normal_24</t>
  </si>
  <si>
    <t>心庭蕈兽</t>
  </si>
  <si>
    <t>elite_01</t>
  </si>
  <si>
    <t>辉角巡兽</t>
  </si>
  <si>
    <t>elite_02</t>
  </si>
  <si>
    <t>暮风猎隼</t>
  </si>
  <si>
    <t>elite_03</t>
  </si>
  <si>
    <t>铜潮守卫</t>
  </si>
  <si>
    <t>elite_04</t>
  </si>
  <si>
    <t>盐晶巨螯</t>
  </si>
  <si>
    <t>elite_05</t>
  </si>
  <si>
    <t>雾根卫士</t>
  </si>
  <si>
    <t>elite_06</t>
  </si>
  <si>
    <t>冠层梦魇</t>
  </si>
  <si>
    <t>boss_01</t>
  </si>
  <si>
    <t>逐日原角王</t>
  </si>
  <si>
    <t>boss_02</t>
  </si>
  <si>
    <t>深潮观测体</t>
  </si>
  <si>
    <t>boss_03</t>
  </si>
  <si>
    <t>千年雾冠主</t>
  </si>
  <si>
    <t>power</t>
  </si>
  <si>
    <t>accuracy</t>
  </si>
  <si>
    <t>effect</t>
  </si>
  <si>
    <t>pet_skill_01</t>
  </si>
  <si>
    <t>芽光连击</t>
  </si>
  <si>
    <t>heal</t>
  </si>
  <si>
    <t>pet_skill_02</t>
  </si>
  <si>
    <t>晨叶回响</t>
  </si>
  <si>
    <t>shield</t>
  </si>
  <si>
    <t>pet_skill_03</t>
  </si>
  <si>
    <t>原野守势</t>
  </si>
  <si>
    <t>attack_up</t>
  </si>
  <si>
    <t>pet_skill_04</t>
  </si>
  <si>
    <t>日轮共鸣</t>
  </si>
  <si>
    <t>defense_down</t>
  </si>
  <si>
    <t>pet_skill_05</t>
  </si>
  <si>
    <t>曦冠复苏</t>
  </si>
  <si>
    <t>pet_skill_06</t>
  </si>
  <si>
    <t>月荫破绽</t>
  </si>
  <si>
    <t>pet_skill_07</t>
  </si>
  <si>
    <t>苔语问诊</t>
  </si>
  <si>
    <t>pet_skill_08</t>
  </si>
  <si>
    <t>孢光屏障</t>
  </si>
  <si>
    <t>pet_skill_09</t>
  </si>
  <si>
    <t>根脉安抚</t>
  </si>
  <si>
    <t>pet_skill_10</t>
  </si>
  <si>
    <t>森语合唱</t>
  </si>
  <si>
    <t>pet_skill_11</t>
  </si>
  <si>
    <t>古痕解析</t>
  </si>
  <si>
    <t>pet_skill_12</t>
  </si>
  <si>
    <t>回声封锁</t>
  </si>
  <si>
    <t>pet_skill_13</t>
  </si>
  <si>
    <t>烬爪突袭</t>
  </si>
  <si>
    <t>pet_skill_14</t>
  </si>
  <si>
    <t>炎纹追猎</t>
  </si>
  <si>
    <t>pet_skill_15</t>
  </si>
  <si>
    <t>热流蓄势</t>
  </si>
  <si>
    <t>pet_skill_16</t>
  </si>
  <si>
    <t>炽阳爆燃</t>
  </si>
  <si>
    <t>pet_skill_17</t>
  </si>
  <si>
    <t>余烬刻印</t>
  </si>
  <si>
    <t>pet_skill_18</t>
  </si>
  <si>
    <t>灰烬回旋</t>
  </si>
  <si>
    <t>pet_skill_19</t>
  </si>
  <si>
    <t>岩角推进</t>
  </si>
  <si>
    <t>pet_skill_20</t>
  </si>
  <si>
    <t>层甲承压</t>
  </si>
  <si>
    <t>pet_skill_21</t>
  </si>
  <si>
    <t>地脉固守</t>
  </si>
  <si>
    <t>pet_skill_22</t>
  </si>
  <si>
    <t>山岳同调</t>
  </si>
  <si>
    <t>pet_skill_23</t>
  </si>
  <si>
    <t>晶壳折返</t>
  </si>
  <si>
    <t>pet_skill_24</t>
  </si>
  <si>
    <t>磐心庇护</t>
  </si>
  <si>
    <t>pet_skill_25</t>
  </si>
  <si>
    <t>风耳预警</t>
  </si>
  <si>
    <t>pet_skill_26</t>
  </si>
  <si>
    <t>逐风切入</t>
  </si>
  <si>
    <t>pet_skill_27</t>
  </si>
  <si>
    <t>气流标记</t>
  </si>
  <si>
    <t>pet_skill_28</t>
  </si>
  <si>
    <t>天际俯冲</t>
  </si>
  <si>
    <t>pet_skill_29</t>
  </si>
  <si>
    <t>岚影换位</t>
  </si>
  <si>
    <t>pet_skill_30</t>
  </si>
  <si>
    <t>追迹终结</t>
  </si>
  <si>
    <t>slot</t>
  </si>
  <si>
    <t>salvage_item</t>
  </si>
  <si>
    <t>salvage_qty</t>
  </si>
  <si>
    <t>affix_pool</t>
  </si>
  <si>
    <t>salvage_qty_formula</t>
  </si>
  <si>
    <t>equipment_01</t>
  </si>
  <si>
    <t>原野短杖</t>
  </si>
  <si>
    <t>weapon</t>
  </si>
  <si>
    <t>affix_pool_2</t>
  </si>
  <si>
    <t>equipment_02</t>
  </si>
  <si>
    <t>藤编护衣</t>
  </si>
  <si>
    <t>armor</t>
  </si>
  <si>
    <t>affix_pool_3</t>
  </si>
  <si>
    <t>equipment_03</t>
  </si>
  <si>
    <t>晨露罗盘</t>
  </si>
  <si>
    <t>treasure</t>
  </si>
  <si>
    <t>affix_pool_4</t>
  </si>
  <si>
    <t>equipment_04</t>
  </si>
  <si>
    <t>测绘手斧</t>
  </si>
  <si>
    <t>affix_pool_5</t>
  </si>
  <si>
    <t>equipment_05</t>
  </si>
  <si>
    <t>石环背心</t>
  </si>
  <si>
    <t>affix_pool_6</t>
  </si>
  <si>
    <t>equipment_06</t>
  </si>
  <si>
    <t>风向铃</t>
  </si>
  <si>
    <t>affix_pool_1</t>
  </si>
  <si>
    <t>equipment_07</t>
  </si>
  <si>
    <t>潮纹刺刃</t>
  </si>
  <si>
    <t>equipment_08</t>
  </si>
  <si>
    <t>盐织甲</t>
  </si>
  <si>
    <t>equipment_09</t>
  </si>
  <si>
    <t>回声测距仪</t>
  </si>
  <si>
    <t>equipment_10</t>
  </si>
  <si>
    <t>遗迹破拆锤</t>
  </si>
  <si>
    <t>equipment_11</t>
  </si>
  <si>
    <t>铜脊护服</t>
  </si>
  <si>
    <t>equipment_12</t>
  </si>
  <si>
    <t>旧城透镜</t>
  </si>
  <si>
    <t>equipment_13</t>
  </si>
  <si>
    <t>雾木长弓</t>
  </si>
  <si>
    <t>equipment_14</t>
  </si>
  <si>
    <t>孢光披肩</t>
  </si>
  <si>
    <t>equipment_15</t>
  </si>
  <si>
    <t>根谷信标</t>
  </si>
  <si>
    <t>equipment_16</t>
  </si>
  <si>
    <t>晶砂战镐</t>
  </si>
  <si>
    <t>equipment_17</t>
  </si>
  <si>
    <t>古树层甲</t>
  </si>
  <si>
    <t>equipment_18</t>
  </si>
  <si>
    <t>冠层星盘</t>
  </si>
  <si>
    <t>equipment_19</t>
  </si>
  <si>
    <t>逐日角枪</t>
  </si>
  <si>
    <t>equipment_20</t>
  </si>
  <si>
    <t>原王壁甲</t>
  </si>
  <si>
    <t>equipment_21</t>
  </si>
  <si>
    <t>栖光圣印</t>
  </si>
  <si>
    <t>equipment_22</t>
  </si>
  <si>
    <t>深潮切割器</t>
  </si>
  <si>
    <t>equipment_23</t>
  </si>
  <si>
    <t>潮眼重铠</t>
  </si>
  <si>
    <t>equipment_24</t>
  </si>
  <si>
    <t>回声核心</t>
  </si>
  <si>
    <t>equipment_25</t>
  </si>
  <si>
    <t>雾冠裁决弓</t>
  </si>
  <si>
    <t>legendary</t>
  </si>
  <si>
    <t>equipment_26</t>
  </si>
  <si>
    <t>森心守望甲</t>
  </si>
  <si>
    <t>equipment_27</t>
  </si>
  <si>
    <t>千年树轮仪</t>
  </si>
  <si>
    <t>equipment_28</t>
  </si>
  <si>
    <t>星痕调查刃</t>
  </si>
  <si>
    <t>equipment_29</t>
  </si>
  <si>
    <t>三域共建装甲</t>
  </si>
  <si>
    <t>equipment_30</t>
  </si>
  <si>
    <t>遗迹初鸣秘宝</t>
  </si>
  <si>
    <t>pool</t>
  </si>
  <si>
    <t>attr</t>
  </si>
  <si>
    <t>min</t>
  </si>
  <si>
    <t>max</t>
  </si>
  <si>
    <t>weight</t>
  </si>
  <si>
    <t>affix_1_1</t>
  </si>
  <si>
    <t>attack</t>
  </si>
  <si>
    <t>affix_1_2</t>
  </si>
  <si>
    <t>affix_1_3</t>
  </si>
  <si>
    <t>health</t>
  </si>
  <si>
    <t>affix_1_4</t>
  </si>
  <si>
    <t>affix_1_5</t>
  </si>
  <si>
    <t>crit_rate</t>
  </si>
  <si>
    <t>affix_2_1</t>
  </si>
  <si>
    <t>affix_2_2</t>
  </si>
  <si>
    <t>affix_2_3</t>
  </si>
  <si>
    <t>affix_2_4</t>
  </si>
  <si>
    <t>affix_2_5</t>
  </si>
  <si>
    <t>affix_3_1</t>
  </si>
  <si>
    <t>affix_3_2</t>
  </si>
  <si>
    <t>affix_3_3</t>
  </si>
  <si>
    <t>affix_3_4</t>
  </si>
  <si>
    <t>affix_3_5</t>
  </si>
  <si>
    <t>affix_4_1</t>
  </si>
  <si>
    <t>affix_4_2</t>
  </si>
  <si>
    <t>affix_4_3</t>
  </si>
  <si>
    <t>affix_4_4</t>
  </si>
  <si>
    <t>affix_4_5</t>
  </si>
  <si>
    <t>affix_5_1</t>
  </si>
  <si>
    <t>affix_5_2</t>
  </si>
  <si>
    <t>affix_5_3</t>
  </si>
  <si>
    <t>affix_5_4</t>
  </si>
  <si>
    <t>affix_5_5</t>
  </si>
  <si>
    <t>affix_6_1</t>
  </si>
  <si>
    <t>affix_6_2</t>
  </si>
  <si>
    <t>affix_6_3</t>
  </si>
  <si>
    <t>affix_6_4</t>
  </si>
  <si>
    <t>affix_6_5</t>
  </si>
  <si>
    <t>equipment</t>
  </si>
  <si>
    <t>blueprint</t>
  </si>
  <si>
    <t>fragments</t>
  </si>
  <si>
    <t>coin</t>
  </si>
  <si>
    <t>materials</t>
  </si>
  <si>
    <t>craft_value</t>
  </si>
  <si>
    <t>salvage_value</t>
  </si>
  <si>
    <t>loop_check</t>
  </si>
  <si>
    <t>mist_wood*10 / soft_clay*3 / prairie_horn*1</t>
  </si>
  <si>
    <t>ruin_gear*10 / soft_clay*3 / prairie_horn*1</t>
  </si>
  <si>
    <t>mist_wood*10 / soft_clay*3 / tide_lens*1</t>
  </si>
  <si>
    <t>ruin_gear*10 / soft_clay*3 / tide_lens*1</t>
  </si>
  <si>
    <t>mist_wood*12 / soft_clay*4 / tide_lens*1</t>
  </si>
  <si>
    <t>ruin_gear*12 / soft_clay*4 / tide_lens*1</t>
  </si>
  <si>
    <t>mist_wood*12 / soft_clay*4 / forest_heart*1</t>
  </si>
  <si>
    <t>ruin_gear*12 / soft_clay*4 / forest_heart*1</t>
  </si>
  <si>
    <t>guaranteed</t>
  </si>
  <si>
    <t>sunlit_steppe_z1_loot</t>
  </si>
  <si>
    <t>sunlit_steppe_z2_loot</t>
  </si>
  <si>
    <t>sunlit_steppe_z3_loot</t>
  </si>
  <si>
    <t>sunlit_steppe_z4_loot</t>
  </si>
  <si>
    <t>tide_ruins_z1_loot</t>
  </si>
  <si>
    <t>tide_ruins_z2_loot</t>
  </si>
  <si>
    <t>tide_ruins_z3_loot</t>
  </si>
  <si>
    <t>tide_ruins_z4_loot</t>
  </si>
  <si>
    <t>mist_crown_forest_z1_loot</t>
  </si>
  <si>
    <t>mist_crown_forest_z2_loot</t>
  </si>
  <si>
    <t>mist_crown_forest_z3_loot</t>
  </si>
  <si>
    <t>mist_crown_forest_z4_loot</t>
  </si>
  <si>
    <t>boss_01_pool</t>
  </si>
  <si>
    <t>boss_02_pool</t>
  </si>
  <si>
    <t>boss_03_pool</t>
  </si>
  <si>
    <t>blueprint_fragment</t>
  </si>
  <si>
    <t>region</t>
  </si>
  <si>
    <t>start</t>
  </si>
  <si>
    <t>end</t>
  </si>
  <si>
    <t>active</t>
  </si>
  <si>
    <t>season_01_nature_ruins</t>
  </si>
  <si>
    <t>首季·遗迹初鸣</t>
  </si>
  <si>
    <t>三域联合调查</t>
  </si>
  <si>
    <t>2026-09-01T00:00:00+08:00</t>
  </si>
  <si>
    <t>2026-11-10T00:00:00+08:00</t>
  </si>
  <si>
    <t>milestone</t>
  </si>
  <si>
    <t>qty</t>
  </si>
  <si>
    <t>cohort</t>
  </si>
  <si>
    <t>income_p50</t>
  </si>
  <si>
    <t>spend_p50</t>
  </si>
  <si>
    <t>crafts_p50</t>
  </si>
  <si>
    <t>evolve_p50</t>
  </si>
  <si>
    <t>awaken_p50</t>
  </si>
  <si>
    <t>boss_join</t>
  </si>
  <si>
    <t>boss_clear</t>
  </si>
  <si>
    <t>badge_p50</t>
  </si>
  <si>
    <t>season_p50</t>
  </si>
  <si>
    <t>low</t>
  </si>
  <si>
    <t>standard</t>
  </si>
  <si>
    <t>high</t>
  </si>
  <si>
    <t>标准收入是否达标</t>
  </si>
  <si>
    <t>标准消耗是否达标</t>
  </si>
  <si>
    <t>进化日是否达标</t>
  </si>
  <si>
    <t>觉醒日是否达标</t>
  </si>
  <si>
    <t>谱系战力比</t>
  </si>
  <si>
    <t>无统治谱系</t>
  </si>
  <si>
    <t>Lv.15到达人数</t>
  </si>
  <si>
    <t>P50日</t>
  </si>
  <si>
    <t>首图完成P50</t>
  </si>
  <si>
    <t>目标&lt;=20</t>
  </si>
  <si>
    <t>第二图进入P50</t>
  </si>
  <si>
    <t>目标&lt;=40</t>
  </si>
  <si>
    <t>第三图进入P50</t>
  </si>
  <si>
    <t>目标&lt;=70</t>
  </si>
  <si>
    <t>目标键</t>
  </si>
  <si>
    <t>模拟器结果</t>
  </si>
  <si>
    <t>income_ok</t>
  </si>
  <si>
    <t>spend_ok</t>
  </si>
  <si>
    <t>evolve_ok</t>
  </si>
  <si>
    <t>awaken_ok</t>
  </si>
  <si>
    <t>equip_ok</t>
  </si>
  <si>
    <t>no_ruler</t>
  </si>
  <si>
    <t>progress_ok</t>
  </si>
  <si>
    <t>boss_ok</t>
  </si>
  <si>
    <t>kind</t>
  </si>
  <si>
    <t>field</t>
  </si>
  <si>
    <t>status</t>
  </si>
  <si>
    <t>pet</t>
  </si>
  <si>
    <t>zone</t>
  </si>
  <si>
    <t>mapped</t>
  </si>
  <si>
    <t>偷袭失败</t>
  </si>
  <si>
    <t>path</t>
  </si>
  <si>
    <t>攻击图片\偷袭失败.gif</t>
  </si>
  <si>
    <t>偷袭成功</t>
  </si>
  <si>
    <t>攻击图片\偷袭成功.gif</t>
  </si>
  <si>
    <t>取钱图片</t>
  </si>
  <si>
    <t>互动图片\取钱.jpg</t>
  </si>
  <si>
    <t>回击失败</t>
  </si>
  <si>
    <t>空</t>
  </si>
  <si>
    <t>回击成功</t>
  </si>
  <si>
    <t>存钱图片</t>
  </si>
  <si>
    <t>互动图片\存钱.jpg</t>
  </si>
  <si>
    <t>完成学习</t>
  </si>
  <si>
    <t>完成锻炼</t>
  </si>
  <si>
    <t>开始学习</t>
  </si>
  <si>
    <t>开始锻炼</t>
  </si>
  <si>
    <t>抛竿</t>
  </si>
  <si>
    <t>互动图片\抛竿.jpg</t>
  </si>
  <si>
    <t>抽奖图片</t>
  </si>
  <si>
    <t>摸头</t>
  </si>
  <si>
    <t>互动图片\摸头.jpg</t>
  </si>
  <si>
    <t>散步</t>
  </si>
  <si>
    <t>互动图片\散步.jpg</t>
  </si>
  <si>
    <t>治疗</t>
  </si>
  <si>
    <t>互动图片\治疗.jpg</t>
  </si>
  <si>
    <t>洗澡</t>
  </si>
  <si>
    <t>互动图片\洗澡.jpg</t>
  </si>
  <si>
    <t>猜拳图片</t>
  </si>
  <si>
    <t>互动图片\猜拳.jpg</t>
  </si>
  <si>
    <t>自爆</t>
  </si>
  <si>
    <t>互动图片\自爆.jpg</t>
  </si>
  <si>
    <t>转账图片</t>
  </si>
  <si>
    <t>互动图片\转账.jpg</t>
  </si>
  <si>
    <t>银行图片</t>
  </si>
  <si>
    <t>互动图片\银行.jpg</t>
  </si>
  <si>
    <t>领养</t>
  </si>
  <si>
    <t>核心图片\领养.jpg</t>
  </si>
  <si>
    <t>检查项</t>
  </si>
  <si>
    <t>实际</t>
  </si>
  <si>
    <t>通过</t>
  </si>
  <si>
    <t>地图数量</t>
  </si>
  <si>
    <t>区域数量</t>
  </si>
  <si>
    <t>技能&gt;=30</t>
  </si>
  <si>
    <t>装备&gt;=30</t>
  </si>
  <si>
    <t>词条&gt;=30</t>
  </si>
  <si>
    <t>配方&gt;=12</t>
  </si>
  <si>
    <t>货币=3</t>
  </si>
  <si>
    <t>season_token物品数</t>
  </si>
  <si>
    <t>徽章掉落</t>
  </si>
  <si>
    <t>蓝图碎片来源</t>
  </si>
  <si>
    <t>模拟目标通过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</si>
</sst>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FFFFFF"/>
      <name val="Microsoft YaHei"/>
      <family val="2"/>
      <charset val="134"/>
    </font>
    <font>
      <sz val="11"/>
      <name val="Microsoft YaHei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vertical="center" wrapText="1"/>
    </xf>
    <xf numFmtId="1" fontId="2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15"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D18"/>
  <sheetViews>
    <sheetView tabSelected="1" workbookViewId="0">
      <pane ySplit="1" topLeftCell="A2" activePane="bottomLeft" state="frozen"/>
      <selection pane="bottomLeft"/>
    </sheetView>
  </sheetViews>
  <sheetFormatPr defaultRowHeight="13.5"/>
  <cols>
    <col min="1" max="1" width="18" customWidth="1"/>
    <col min="2" max="2" width="28" customWidth="1"/>
    <col min="3" max="3" width="30" customWidth="1"/>
    <col min="4" max="4" width="14" customWidth="1"/>
  </cols>
  <sheetData>
    <row r="1" spans="1:4" ht="21.9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6.5">
      <c r="A2" s="2" t="s">
        <v>4</v>
      </c>
      <c r="B2" s="2">
        <v>20</v>
      </c>
      <c r="C2" s="2" t="s">
        <v>5</v>
      </c>
      <c r="D2" s="2" t="s">
        <v>6</v>
      </c>
    </row>
    <row r="3" spans="1:4" ht="16.5">
      <c r="A3" s="2" t="s">
        <v>7</v>
      </c>
      <c r="B3" s="2">
        <v>5</v>
      </c>
      <c r="C3" s="2" t="s">
        <v>8</v>
      </c>
      <c r="D3" s="2" t="s">
        <v>9</v>
      </c>
    </row>
    <row r="4" spans="1:4" ht="16.5">
      <c r="A4" s="2" t="s">
        <v>10</v>
      </c>
      <c r="B4" s="2">
        <v>45</v>
      </c>
      <c r="C4" s="2" t="s">
        <v>11</v>
      </c>
      <c r="D4" s="2" t="s">
        <v>12</v>
      </c>
    </row>
    <row r="5" spans="1:4" ht="16.5">
      <c r="A5" s="2" t="s">
        <v>13</v>
      </c>
      <c r="B5" s="2">
        <v>3</v>
      </c>
      <c r="C5" s="2" t="s">
        <v>14</v>
      </c>
      <c r="D5" s="2" t="s">
        <v>15</v>
      </c>
    </row>
    <row r="6" spans="1:4" ht="16.5">
      <c r="A6" s="2" t="s">
        <v>16</v>
      </c>
      <c r="B6" s="2">
        <v>3</v>
      </c>
      <c r="C6" s="2" t="s">
        <v>17</v>
      </c>
      <c r="D6" s="2" t="s">
        <v>15</v>
      </c>
    </row>
    <row r="7" spans="1:4" ht="16.5">
      <c r="A7" s="2" t="s">
        <v>18</v>
      </c>
      <c r="B7" s="2">
        <v>12</v>
      </c>
      <c r="C7" s="2" t="s">
        <v>19</v>
      </c>
      <c r="D7" s="2" t="s">
        <v>20</v>
      </c>
    </row>
    <row r="8" spans="1:4" ht="16.5">
      <c r="A8" s="2" t="s">
        <v>21</v>
      </c>
      <c r="B8" s="2">
        <v>33</v>
      </c>
      <c r="C8" s="2" t="s">
        <v>22</v>
      </c>
      <c r="D8" s="2" t="s">
        <v>23</v>
      </c>
    </row>
    <row r="9" spans="1:4" ht="16.5">
      <c r="A9" s="2" t="s">
        <v>24</v>
      </c>
      <c r="B9" s="2">
        <v>30</v>
      </c>
      <c r="C9" s="2" t="s">
        <v>25</v>
      </c>
      <c r="D9" s="2" t="s">
        <v>26</v>
      </c>
    </row>
    <row r="10" spans="1:4" ht="16.5">
      <c r="A10" s="2" t="s">
        <v>27</v>
      </c>
      <c r="B10" s="2">
        <v>30</v>
      </c>
      <c r="C10" s="2" t="s">
        <v>28</v>
      </c>
      <c r="D10" s="2" t="s">
        <v>26</v>
      </c>
    </row>
    <row r="11" spans="1:4" ht="16.5">
      <c r="A11" s="2" t="s">
        <v>29</v>
      </c>
      <c r="B11" s="2">
        <v>30</v>
      </c>
      <c r="C11" s="2" t="s">
        <v>30</v>
      </c>
      <c r="D11" s="2" t="s">
        <v>26</v>
      </c>
    </row>
    <row r="12" spans="1:4" ht="16.5">
      <c r="A12" s="2" t="s">
        <v>31</v>
      </c>
      <c r="B12" s="2">
        <v>12</v>
      </c>
      <c r="C12" s="2" t="s">
        <v>32</v>
      </c>
      <c r="D12" s="2" t="s">
        <v>33</v>
      </c>
    </row>
    <row r="13" spans="1:4" ht="16.5">
      <c r="A13" s="2" t="s">
        <v>34</v>
      </c>
      <c r="B13" s="2">
        <v>20</v>
      </c>
      <c r="C13" s="2" t="s">
        <v>35</v>
      </c>
      <c r="D13" s="2" t="s">
        <v>6</v>
      </c>
    </row>
    <row r="14" spans="1:4" ht="16.5">
      <c r="A14" s="2" t="s">
        <v>36</v>
      </c>
      <c r="B14" s="2">
        <v>250</v>
      </c>
      <c r="C14" s="2" t="s">
        <v>37</v>
      </c>
      <c r="D14" s="2" t="s">
        <v>38</v>
      </c>
    </row>
    <row r="15" spans="1:4" ht="16.5">
      <c r="A15" s="2" t="s">
        <v>39</v>
      </c>
      <c r="B15" s="2">
        <v>350</v>
      </c>
      <c r="C15" s="2" t="s">
        <v>37</v>
      </c>
      <c r="D15" s="2" t="s">
        <v>40</v>
      </c>
    </row>
    <row r="16" spans="1:4" ht="16.5">
      <c r="A16" s="2" t="s">
        <v>41</v>
      </c>
      <c r="B16" s="2">
        <v>180</v>
      </c>
      <c r="C16" s="2" t="s">
        <v>37</v>
      </c>
      <c r="D16" s="2" t="s">
        <v>42</v>
      </c>
    </row>
    <row r="17" spans="1:4" ht="16.5">
      <c r="A17" s="2" t="s">
        <v>43</v>
      </c>
      <c r="B17" s="2">
        <v>280</v>
      </c>
      <c r="C17" s="2" t="s">
        <v>37</v>
      </c>
      <c r="D17" s="2" t="s">
        <v>44</v>
      </c>
    </row>
    <row r="18" spans="1:4" ht="16.5">
      <c r="A18" s="2" t="s">
        <v>45</v>
      </c>
      <c r="B18" s="2">
        <f>(B14+B15)/2-(B16+B17)/2</f>
        <v>70</v>
      </c>
      <c r="C18" s="2" t="s">
        <v>46</v>
      </c>
      <c r="D18" s="2" t="s">
        <v>47</v>
      </c>
    </row>
  </sheetData>
  <autoFilter ref="A1:D18" xr:uid="{00000000-0009-0000-0000-000000000000}"/>
  <phoneticPr fontId="3" type="noConversion"/>
  <conditionalFormatting sqref="B2:B13">
    <cfRule type="cellIs" dxfId="14" priority="1" operator="lessThan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4E79"/>
  </sheetPr>
  <dimension ref="A1:K2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3" customWidth="1"/>
    <col min="2" max="7" width="14" customWidth="1"/>
    <col min="8" max="8" width="16" customWidth="1"/>
    <col min="9" max="9" width="24" customWidth="1"/>
    <col min="10" max="11" width="14" customWidth="1"/>
  </cols>
  <sheetData>
    <row r="1" spans="1:11" ht="21.95" customHeigh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ht="16.5">
      <c r="A2" s="2" t="s">
        <v>59</v>
      </c>
      <c r="B2" s="2" t="s">
        <v>60</v>
      </c>
      <c r="C2" s="2" t="s">
        <v>61</v>
      </c>
      <c r="D2" s="2" t="s">
        <v>62</v>
      </c>
      <c r="E2" s="3">
        <v>14</v>
      </c>
      <c r="F2" s="3">
        <v>14</v>
      </c>
      <c r="G2" s="3">
        <v>14</v>
      </c>
      <c r="H2" s="2">
        <f t="shared" ref="H2:H21" si="0">E2+F2+G2</f>
        <v>42</v>
      </c>
      <c r="I2" s="2">
        <f t="shared" ref="I2:I21" si="1">IF(H$2=0,0,H2-H$2)</f>
        <v>0</v>
      </c>
      <c r="J2" s="2" t="b">
        <v>1</v>
      </c>
      <c r="K2" s="2" t="s">
        <v>63</v>
      </c>
    </row>
    <row r="3" spans="1:11" ht="16.5">
      <c r="A3" s="2" t="s">
        <v>64</v>
      </c>
      <c r="B3" s="2" t="s">
        <v>65</v>
      </c>
      <c r="C3" s="2" t="s">
        <v>61</v>
      </c>
      <c r="D3" s="2" t="s">
        <v>66</v>
      </c>
      <c r="E3" s="3">
        <v>28</v>
      </c>
      <c r="F3" s="3">
        <v>28</v>
      </c>
      <c r="G3" s="3">
        <v>28</v>
      </c>
      <c r="H3" s="2">
        <f t="shared" si="0"/>
        <v>84</v>
      </c>
      <c r="I3" s="2">
        <f t="shared" si="1"/>
        <v>42</v>
      </c>
      <c r="J3" s="2" t="b">
        <v>0</v>
      </c>
      <c r="K3" s="2" t="s">
        <v>63</v>
      </c>
    </row>
    <row r="4" spans="1:11" ht="16.5">
      <c r="A4" s="2" t="s">
        <v>67</v>
      </c>
      <c r="B4" s="2" t="s">
        <v>68</v>
      </c>
      <c r="C4" s="2" t="s">
        <v>61</v>
      </c>
      <c r="D4" s="2" t="s">
        <v>69</v>
      </c>
      <c r="E4" s="3">
        <v>45</v>
      </c>
      <c r="F4" s="3">
        <v>39</v>
      </c>
      <c r="G4" s="3">
        <v>42</v>
      </c>
      <c r="H4" s="2">
        <f t="shared" si="0"/>
        <v>126</v>
      </c>
      <c r="I4" s="2">
        <f t="shared" si="1"/>
        <v>84</v>
      </c>
      <c r="J4" s="2" t="b">
        <v>0</v>
      </c>
      <c r="K4" s="2" t="s">
        <v>63</v>
      </c>
    </row>
    <row r="5" spans="1:11" ht="16.5">
      <c r="A5" s="2" t="s">
        <v>70</v>
      </c>
      <c r="B5" s="2" t="s">
        <v>71</v>
      </c>
      <c r="C5" s="2" t="s">
        <v>61</v>
      </c>
      <c r="D5" s="2" t="s">
        <v>69</v>
      </c>
      <c r="E5" s="3">
        <v>39</v>
      </c>
      <c r="F5" s="3">
        <v>45</v>
      </c>
      <c r="G5" s="3">
        <v>42</v>
      </c>
      <c r="H5" s="2">
        <f t="shared" si="0"/>
        <v>126</v>
      </c>
      <c r="I5" s="2">
        <f t="shared" si="1"/>
        <v>84</v>
      </c>
      <c r="J5" s="2" t="b">
        <v>0</v>
      </c>
      <c r="K5" s="2" t="s">
        <v>63</v>
      </c>
    </row>
    <row r="6" spans="1:11" ht="16.5">
      <c r="A6" s="2" t="s">
        <v>72</v>
      </c>
      <c r="B6" s="2" t="s">
        <v>73</v>
      </c>
      <c r="C6" s="2" t="s">
        <v>74</v>
      </c>
      <c r="D6" s="2" t="s">
        <v>62</v>
      </c>
      <c r="E6" s="3">
        <v>19</v>
      </c>
      <c r="F6" s="3">
        <v>10</v>
      </c>
      <c r="G6" s="3">
        <v>14</v>
      </c>
      <c r="H6" s="2">
        <f t="shared" si="0"/>
        <v>43</v>
      </c>
      <c r="I6" s="2">
        <f t="shared" si="1"/>
        <v>1</v>
      </c>
      <c r="J6" s="2" t="b">
        <v>1</v>
      </c>
      <c r="K6" s="2" t="s">
        <v>63</v>
      </c>
    </row>
    <row r="7" spans="1:11" ht="16.5">
      <c r="A7" s="2" t="s">
        <v>75</v>
      </c>
      <c r="B7" s="2" t="s">
        <v>76</v>
      </c>
      <c r="C7" s="2" t="s">
        <v>74</v>
      </c>
      <c r="D7" s="2" t="s">
        <v>66</v>
      </c>
      <c r="E7" s="3">
        <v>38</v>
      </c>
      <c r="F7" s="3">
        <v>20</v>
      </c>
      <c r="G7" s="3">
        <v>28</v>
      </c>
      <c r="H7" s="2">
        <f t="shared" si="0"/>
        <v>86</v>
      </c>
      <c r="I7" s="2">
        <f t="shared" si="1"/>
        <v>44</v>
      </c>
      <c r="J7" s="2" t="b">
        <v>0</v>
      </c>
      <c r="K7" s="2" t="s">
        <v>63</v>
      </c>
    </row>
    <row r="8" spans="1:11" ht="16.5">
      <c r="A8" s="2" t="s">
        <v>77</v>
      </c>
      <c r="B8" s="2" t="s">
        <v>78</v>
      </c>
      <c r="C8" s="2" t="s">
        <v>74</v>
      </c>
      <c r="D8" s="2" t="s">
        <v>69</v>
      </c>
      <c r="E8" s="3">
        <v>60</v>
      </c>
      <c r="F8" s="3">
        <v>27</v>
      </c>
      <c r="G8" s="3">
        <v>42</v>
      </c>
      <c r="H8" s="2">
        <f t="shared" si="0"/>
        <v>129</v>
      </c>
      <c r="I8" s="2">
        <f t="shared" si="1"/>
        <v>87</v>
      </c>
      <c r="J8" s="2" t="b">
        <v>0</v>
      </c>
      <c r="K8" s="2" t="s">
        <v>63</v>
      </c>
    </row>
    <row r="9" spans="1:11" ht="16.5">
      <c r="A9" s="2" t="s">
        <v>79</v>
      </c>
      <c r="B9" s="2" t="s">
        <v>80</v>
      </c>
      <c r="C9" s="2" t="s">
        <v>74</v>
      </c>
      <c r="D9" s="2" t="s">
        <v>69</v>
      </c>
      <c r="E9" s="3">
        <v>54</v>
      </c>
      <c r="F9" s="3">
        <v>33</v>
      </c>
      <c r="G9" s="3">
        <v>42</v>
      </c>
      <c r="H9" s="2">
        <f t="shared" si="0"/>
        <v>129</v>
      </c>
      <c r="I9" s="2">
        <f t="shared" si="1"/>
        <v>87</v>
      </c>
      <c r="J9" s="2" t="b">
        <v>0</v>
      </c>
      <c r="K9" s="2" t="s">
        <v>63</v>
      </c>
    </row>
    <row r="10" spans="1:11" ht="16.5">
      <c r="A10" s="2" t="s">
        <v>81</v>
      </c>
      <c r="B10" s="2" t="s">
        <v>82</v>
      </c>
      <c r="C10" s="2" t="s">
        <v>83</v>
      </c>
      <c r="D10" s="2" t="s">
        <v>62</v>
      </c>
      <c r="E10" s="3">
        <v>10</v>
      </c>
      <c r="F10" s="3">
        <v>21</v>
      </c>
      <c r="G10" s="3">
        <v>12</v>
      </c>
      <c r="H10" s="2">
        <f t="shared" si="0"/>
        <v>43</v>
      </c>
      <c r="I10" s="2">
        <f t="shared" si="1"/>
        <v>1</v>
      </c>
      <c r="J10" s="2" t="b">
        <v>1</v>
      </c>
      <c r="K10" s="2" t="s">
        <v>63</v>
      </c>
    </row>
    <row r="11" spans="1:11" ht="16.5">
      <c r="A11" s="2" t="s">
        <v>84</v>
      </c>
      <c r="B11" s="2" t="s">
        <v>85</v>
      </c>
      <c r="C11" s="2" t="s">
        <v>83</v>
      </c>
      <c r="D11" s="2" t="s">
        <v>66</v>
      </c>
      <c r="E11" s="3">
        <v>20</v>
      </c>
      <c r="F11" s="3">
        <v>42</v>
      </c>
      <c r="G11" s="3">
        <v>24</v>
      </c>
      <c r="H11" s="2">
        <f t="shared" si="0"/>
        <v>86</v>
      </c>
      <c r="I11" s="2">
        <f t="shared" si="1"/>
        <v>44</v>
      </c>
      <c r="J11" s="2" t="b">
        <v>0</v>
      </c>
      <c r="K11" s="2" t="s">
        <v>63</v>
      </c>
    </row>
    <row r="12" spans="1:11" ht="16.5">
      <c r="A12" s="2" t="s">
        <v>86</v>
      </c>
      <c r="B12" s="2" t="s">
        <v>87</v>
      </c>
      <c r="C12" s="2" t="s">
        <v>83</v>
      </c>
      <c r="D12" s="2" t="s">
        <v>69</v>
      </c>
      <c r="E12" s="3">
        <v>33</v>
      </c>
      <c r="F12" s="3">
        <v>60</v>
      </c>
      <c r="G12" s="3">
        <v>36</v>
      </c>
      <c r="H12" s="2">
        <f t="shared" si="0"/>
        <v>129</v>
      </c>
      <c r="I12" s="2">
        <f t="shared" si="1"/>
        <v>87</v>
      </c>
      <c r="J12" s="2" t="b">
        <v>0</v>
      </c>
      <c r="K12" s="2" t="s">
        <v>63</v>
      </c>
    </row>
    <row r="13" spans="1:11" ht="16.5">
      <c r="A13" s="2" t="s">
        <v>88</v>
      </c>
      <c r="B13" s="2" t="s">
        <v>89</v>
      </c>
      <c r="C13" s="2" t="s">
        <v>83</v>
      </c>
      <c r="D13" s="2" t="s">
        <v>69</v>
      </c>
      <c r="E13" s="3">
        <v>27</v>
      </c>
      <c r="F13" s="3">
        <v>66</v>
      </c>
      <c r="G13" s="3">
        <v>36</v>
      </c>
      <c r="H13" s="2">
        <f t="shared" si="0"/>
        <v>129</v>
      </c>
      <c r="I13" s="2">
        <f t="shared" si="1"/>
        <v>87</v>
      </c>
      <c r="J13" s="2" t="b">
        <v>0</v>
      </c>
      <c r="K13" s="2" t="s">
        <v>63</v>
      </c>
    </row>
    <row r="14" spans="1:11" ht="16.5">
      <c r="A14" s="2" t="s">
        <v>90</v>
      </c>
      <c r="B14" s="2" t="s">
        <v>91</v>
      </c>
      <c r="C14" s="2" t="s">
        <v>92</v>
      </c>
      <c r="D14" s="2" t="s">
        <v>62</v>
      </c>
      <c r="E14" s="3">
        <v>9</v>
      </c>
      <c r="F14" s="3">
        <v>11</v>
      </c>
      <c r="G14" s="3">
        <v>17</v>
      </c>
      <c r="H14" s="2">
        <f t="shared" si="0"/>
        <v>37</v>
      </c>
      <c r="I14" s="2">
        <f t="shared" si="1"/>
        <v>-5</v>
      </c>
      <c r="J14" s="2" t="b">
        <v>1</v>
      </c>
      <c r="K14" s="2" t="s">
        <v>63</v>
      </c>
    </row>
    <row r="15" spans="1:11" ht="16.5">
      <c r="A15" s="2" t="s">
        <v>93</v>
      </c>
      <c r="B15" s="2" t="s">
        <v>94</v>
      </c>
      <c r="C15" s="2" t="s">
        <v>92</v>
      </c>
      <c r="D15" s="2" t="s">
        <v>66</v>
      </c>
      <c r="E15" s="3">
        <v>18</v>
      </c>
      <c r="F15" s="3">
        <v>22</v>
      </c>
      <c r="G15" s="3">
        <v>34</v>
      </c>
      <c r="H15" s="2">
        <f t="shared" si="0"/>
        <v>74</v>
      </c>
      <c r="I15" s="2">
        <f t="shared" si="1"/>
        <v>32</v>
      </c>
      <c r="J15" s="2" t="b">
        <v>0</v>
      </c>
      <c r="K15" s="2" t="s">
        <v>63</v>
      </c>
    </row>
    <row r="16" spans="1:11" ht="16.5">
      <c r="A16" s="2" t="s">
        <v>95</v>
      </c>
      <c r="B16" s="2" t="s">
        <v>96</v>
      </c>
      <c r="C16" s="2" t="s">
        <v>92</v>
      </c>
      <c r="D16" s="2" t="s">
        <v>69</v>
      </c>
      <c r="E16" s="3">
        <v>30</v>
      </c>
      <c r="F16" s="3">
        <v>30</v>
      </c>
      <c r="G16" s="3">
        <v>51</v>
      </c>
      <c r="H16" s="2">
        <f t="shared" si="0"/>
        <v>111</v>
      </c>
      <c r="I16" s="2">
        <f t="shared" si="1"/>
        <v>69</v>
      </c>
      <c r="J16" s="2" t="b">
        <v>0</v>
      </c>
      <c r="K16" s="2" t="s">
        <v>63</v>
      </c>
    </row>
    <row r="17" spans="1:11" ht="16.5">
      <c r="A17" s="2" t="s">
        <v>97</v>
      </c>
      <c r="B17" s="2" t="s">
        <v>98</v>
      </c>
      <c r="C17" s="2" t="s">
        <v>92</v>
      </c>
      <c r="D17" s="2" t="s">
        <v>69</v>
      </c>
      <c r="E17" s="3">
        <v>24</v>
      </c>
      <c r="F17" s="3">
        <v>36</v>
      </c>
      <c r="G17" s="3">
        <v>51</v>
      </c>
      <c r="H17" s="2">
        <f t="shared" si="0"/>
        <v>111</v>
      </c>
      <c r="I17" s="2">
        <f t="shared" si="1"/>
        <v>69</v>
      </c>
      <c r="J17" s="2" t="b">
        <v>0</v>
      </c>
      <c r="K17" s="2" t="s">
        <v>63</v>
      </c>
    </row>
    <row r="18" spans="1:11" ht="16.5">
      <c r="A18" s="2" t="s">
        <v>99</v>
      </c>
      <c r="B18" s="2" t="s">
        <v>100</v>
      </c>
      <c r="C18" s="2" t="s">
        <v>101</v>
      </c>
      <c r="D18" s="2" t="s">
        <v>62</v>
      </c>
      <c r="E18" s="3">
        <v>13</v>
      </c>
      <c r="F18" s="3">
        <v>19</v>
      </c>
      <c r="G18" s="3">
        <v>12</v>
      </c>
      <c r="H18" s="2">
        <f t="shared" si="0"/>
        <v>44</v>
      </c>
      <c r="I18" s="2">
        <f t="shared" si="1"/>
        <v>2</v>
      </c>
      <c r="J18" s="2" t="b">
        <v>1</v>
      </c>
      <c r="K18" s="2" t="s">
        <v>63</v>
      </c>
    </row>
    <row r="19" spans="1:11" ht="16.5">
      <c r="A19" s="2" t="s">
        <v>102</v>
      </c>
      <c r="B19" s="2" t="s">
        <v>103</v>
      </c>
      <c r="C19" s="2" t="s">
        <v>101</v>
      </c>
      <c r="D19" s="2" t="s">
        <v>66</v>
      </c>
      <c r="E19" s="3">
        <v>26</v>
      </c>
      <c r="F19" s="3">
        <v>38</v>
      </c>
      <c r="G19" s="3">
        <v>24</v>
      </c>
      <c r="H19" s="2">
        <f t="shared" si="0"/>
        <v>88</v>
      </c>
      <c r="I19" s="2">
        <f t="shared" si="1"/>
        <v>46</v>
      </c>
      <c r="J19" s="2" t="b">
        <v>0</v>
      </c>
      <c r="K19" s="2" t="s">
        <v>63</v>
      </c>
    </row>
    <row r="20" spans="1:11" ht="16.5">
      <c r="A20" s="2" t="s">
        <v>104</v>
      </c>
      <c r="B20" s="2" t="s">
        <v>105</v>
      </c>
      <c r="C20" s="2" t="s">
        <v>101</v>
      </c>
      <c r="D20" s="2" t="s">
        <v>69</v>
      </c>
      <c r="E20" s="3">
        <v>42</v>
      </c>
      <c r="F20" s="3">
        <v>54</v>
      </c>
      <c r="G20" s="3">
        <v>36</v>
      </c>
      <c r="H20" s="2">
        <f t="shared" si="0"/>
        <v>132</v>
      </c>
      <c r="I20" s="2">
        <f t="shared" si="1"/>
        <v>90</v>
      </c>
      <c r="J20" s="2" t="b">
        <v>0</v>
      </c>
      <c r="K20" s="2" t="s">
        <v>63</v>
      </c>
    </row>
    <row r="21" spans="1:11" ht="16.5">
      <c r="A21" s="2" t="s">
        <v>106</v>
      </c>
      <c r="B21" s="2" t="s">
        <v>107</v>
      </c>
      <c r="C21" s="2" t="s">
        <v>101</v>
      </c>
      <c r="D21" s="2" t="s">
        <v>69</v>
      </c>
      <c r="E21" s="3">
        <v>36</v>
      </c>
      <c r="F21" s="3">
        <v>60</v>
      </c>
      <c r="G21" s="3">
        <v>36</v>
      </c>
      <c r="H21" s="2">
        <f t="shared" si="0"/>
        <v>132</v>
      </c>
      <c r="I21" s="2">
        <f t="shared" si="1"/>
        <v>90</v>
      </c>
      <c r="J21" s="2" t="b">
        <v>0</v>
      </c>
      <c r="K21" s="2" t="s">
        <v>63</v>
      </c>
    </row>
  </sheetData>
  <autoFilter ref="A1:K21" xr:uid="{00000000-0009-0000-0000-000001000000}"/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I1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3" customWidth="1"/>
    <col min="2" max="2" width="22" customWidth="1"/>
    <col min="3" max="3" width="23" customWidth="1"/>
    <col min="4" max="6" width="14" customWidth="1"/>
    <col min="7" max="7" width="20" customWidth="1"/>
    <col min="8" max="8" width="14" customWidth="1"/>
    <col min="9" max="9" width="26" customWidth="1"/>
  </cols>
  <sheetData>
    <row r="1" spans="1:9" ht="21.95" customHeight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</row>
    <row r="2" spans="1:9" ht="16.5">
      <c r="A2" s="2" t="s">
        <v>117</v>
      </c>
      <c r="B2" s="2" t="s">
        <v>59</v>
      </c>
      <c r="C2" s="2" t="s">
        <v>64</v>
      </c>
      <c r="D2" s="2" t="s">
        <v>118</v>
      </c>
      <c r="E2" s="3">
        <v>750</v>
      </c>
      <c r="F2" s="3">
        <v>100</v>
      </c>
      <c r="G2" s="2" t="s">
        <v>119</v>
      </c>
      <c r="H2" s="2" t="b">
        <v>1</v>
      </c>
      <c r="I2" s="2" t="str">
        <f t="shared" ref="I2:I16" si="0">IF(E2&lt;0,"异常","ok")</f>
        <v>ok</v>
      </c>
    </row>
    <row r="3" spans="1:9" ht="16.5">
      <c r="A3" s="2" t="s">
        <v>120</v>
      </c>
      <c r="B3" s="2" t="s">
        <v>64</v>
      </c>
      <c r="C3" s="2" t="s">
        <v>67</v>
      </c>
      <c r="D3" s="2" t="s">
        <v>121</v>
      </c>
      <c r="E3" s="3">
        <v>4800</v>
      </c>
      <c r="F3" s="3">
        <v>720</v>
      </c>
      <c r="G3" s="2" t="s">
        <v>122</v>
      </c>
      <c r="H3" s="2" t="b">
        <v>1</v>
      </c>
      <c r="I3" s="2" t="str">
        <f t="shared" si="0"/>
        <v>ok</v>
      </c>
    </row>
    <row r="4" spans="1:9" ht="16.5">
      <c r="A4" s="2" t="s">
        <v>123</v>
      </c>
      <c r="B4" s="2" t="s">
        <v>64</v>
      </c>
      <c r="C4" s="2" t="s">
        <v>70</v>
      </c>
      <c r="D4" s="2" t="s">
        <v>124</v>
      </c>
      <c r="E4" s="3">
        <v>4800</v>
      </c>
      <c r="F4" s="3">
        <v>720</v>
      </c>
      <c r="G4" s="2" t="s">
        <v>125</v>
      </c>
      <c r="H4" s="2" t="b">
        <v>1</v>
      </c>
      <c r="I4" s="2" t="str">
        <f t="shared" si="0"/>
        <v>ok</v>
      </c>
    </row>
    <row r="5" spans="1:9" ht="16.5">
      <c r="A5" s="2" t="s">
        <v>126</v>
      </c>
      <c r="B5" s="2" t="s">
        <v>72</v>
      </c>
      <c r="C5" s="2" t="s">
        <v>75</v>
      </c>
      <c r="D5" s="2" t="s">
        <v>118</v>
      </c>
      <c r="E5" s="3">
        <v>750</v>
      </c>
      <c r="F5" s="3">
        <v>100</v>
      </c>
      <c r="G5" s="2" t="s">
        <v>119</v>
      </c>
      <c r="H5" s="2" t="b">
        <v>1</v>
      </c>
      <c r="I5" s="2" t="str">
        <f t="shared" si="0"/>
        <v>ok</v>
      </c>
    </row>
    <row r="6" spans="1:9" ht="16.5">
      <c r="A6" s="2" t="s">
        <v>127</v>
      </c>
      <c r="B6" s="2" t="s">
        <v>75</v>
      </c>
      <c r="C6" s="2" t="s">
        <v>77</v>
      </c>
      <c r="D6" s="2" t="s">
        <v>121</v>
      </c>
      <c r="E6" s="3">
        <v>4800</v>
      </c>
      <c r="F6" s="3">
        <v>720</v>
      </c>
      <c r="G6" s="2" t="s">
        <v>122</v>
      </c>
      <c r="H6" s="2" t="b">
        <v>1</v>
      </c>
      <c r="I6" s="2" t="str">
        <f t="shared" si="0"/>
        <v>ok</v>
      </c>
    </row>
    <row r="7" spans="1:9" ht="16.5">
      <c r="A7" s="2" t="s">
        <v>128</v>
      </c>
      <c r="B7" s="2" t="s">
        <v>75</v>
      </c>
      <c r="C7" s="2" t="s">
        <v>79</v>
      </c>
      <c r="D7" s="2" t="s">
        <v>124</v>
      </c>
      <c r="E7" s="3">
        <v>4800</v>
      </c>
      <c r="F7" s="3">
        <v>720</v>
      </c>
      <c r="G7" s="2" t="s">
        <v>125</v>
      </c>
      <c r="H7" s="2" t="b">
        <v>1</v>
      </c>
      <c r="I7" s="2" t="str">
        <f t="shared" si="0"/>
        <v>ok</v>
      </c>
    </row>
    <row r="8" spans="1:9" ht="16.5">
      <c r="A8" s="2" t="s">
        <v>129</v>
      </c>
      <c r="B8" s="2" t="s">
        <v>81</v>
      </c>
      <c r="C8" s="2" t="s">
        <v>84</v>
      </c>
      <c r="D8" s="2" t="s">
        <v>118</v>
      </c>
      <c r="E8" s="3">
        <v>750</v>
      </c>
      <c r="F8" s="3">
        <v>100</v>
      </c>
      <c r="G8" s="2" t="s">
        <v>119</v>
      </c>
      <c r="H8" s="2" t="b">
        <v>1</v>
      </c>
      <c r="I8" s="2" t="str">
        <f t="shared" si="0"/>
        <v>ok</v>
      </c>
    </row>
    <row r="9" spans="1:9" ht="16.5">
      <c r="A9" s="2" t="s">
        <v>130</v>
      </c>
      <c r="B9" s="2" t="s">
        <v>84</v>
      </c>
      <c r="C9" s="2" t="s">
        <v>86</v>
      </c>
      <c r="D9" s="2" t="s">
        <v>121</v>
      </c>
      <c r="E9" s="3">
        <v>4800</v>
      </c>
      <c r="F9" s="3">
        <v>720</v>
      </c>
      <c r="G9" s="2" t="s">
        <v>122</v>
      </c>
      <c r="H9" s="2" t="b">
        <v>1</v>
      </c>
      <c r="I9" s="2" t="str">
        <f t="shared" si="0"/>
        <v>ok</v>
      </c>
    </row>
    <row r="10" spans="1:9" ht="16.5">
      <c r="A10" s="2" t="s">
        <v>131</v>
      </c>
      <c r="B10" s="2" t="s">
        <v>84</v>
      </c>
      <c r="C10" s="2" t="s">
        <v>88</v>
      </c>
      <c r="D10" s="2" t="s">
        <v>124</v>
      </c>
      <c r="E10" s="3">
        <v>4800</v>
      </c>
      <c r="F10" s="3">
        <v>720</v>
      </c>
      <c r="G10" s="2" t="s">
        <v>125</v>
      </c>
      <c r="H10" s="2" t="b">
        <v>1</v>
      </c>
      <c r="I10" s="2" t="str">
        <f t="shared" si="0"/>
        <v>ok</v>
      </c>
    </row>
    <row r="11" spans="1:9" ht="16.5">
      <c r="A11" s="2" t="s">
        <v>132</v>
      </c>
      <c r="B11" s="2" t="s">
        <v>90</v>
      </c>
      <c r="C11" s="2" t="s">
        <v>93</v>
      </c>
      <c r="D11" s="2" t="s">
        <v>118</v>
      </c>
      <c r="E11" s="3">
        <v>750</v>
      </c>
      <c r="F11" s="3">
        <v>100</v>
      </c>
      <c r="G11" s="2" t="s">
        <v>119</v>
      </c>
      <c r="H11" s="2" t="b">
        <v>1</v>
      </c>
      <c r="I11" s="2" t="str">
        <f t="shared" si="0"/>
        <v>ok</v>
      </c>
    </row>
    <row r="12" spans="1:9" ht="16.5">
      <c r="A12" s="2" t="s">
        <v>133</v>
      </c>
      <c r="B12" s="2" t="s">
        <v>93</v>
      </c>
      <c r="C12" s="2" t="s">
        <v>95</v>
      </c>
      <c r="D12" s="2" t="s">
        <v>121</v>
      </c>
      <c r="E12" s="3">
        <v>4800</v>
      </c>
      <c r="F12" s="3">
        <v>720</v>
      </c>
      <c r="G12" s="2" t="s">
        <v>122</v>
      </c>
      <c r="H12" s="2" t="b">
        <v>1</v>
      </c>
      <c r="I12" s="2" t="str">
        <f t="shared" si="0"/>
        <v>ok</v>
      </c>
    </row>
    <row r="13" spans="1:9" ht="16.5">
      <c r="A13" s="2" t="s">
        <v>134</v>
      </c>
      <c r="B13" s="2" t="s">
        <v>93</v>
      </c>
      <c r="C13" s="2" t="s">
        <v>97</v>
      </c>
      <c r="D13" s="2" t="s">
        <v>124</v>
      </c>
      <c r="E13" s="3">
        <v>4800</v>
      </c>
      <c r="F13" s="3">
        <v>720</v>
      </c>
      <c r="G13" s="2" t="s">
        <v>125</v>
      </c>
      <c r="H13" s="2" t="b">
        <v>1</v>
      </c>
      <c r="I13" s="2" t="str">
        <f t="shared" si="0"/>
        <v>ok</v>
      </c>
    </row>
    <row r="14" spans="1:9" ht="16.5">
      <c r="A14" s="2" t="s">
        <v>135</v>
      </c>
      <c r="B14" s="2" t="s">
        <v>99</v>
      </c>
      <c r="C14" s="2" t="s">
        <v>102</v>
      </c>
      <c r="D14" s="2" t="s">
        <v>118</v>
      </c>
      <c r="E14" s="3">
        <v>750</v>
      </c>
      <c r="F14" s="3">
        <v>100</v>
      </c>
      <c r="G14" s="2" t="s">
        <v>119</v>
      </c>
      <c r="H14" s="2" t="b">
        <v>1</v>
      </c>
      <c r="I14" s="2" t="str">
        <f t="shared" si="0"/>
        <v>ok</v>
      </c>
    </row>
    <row r="15" spans="1:9" ht="16.5">
      <c r="A15" s="2" t="s">
        <v>136</v>
      </c>
      <c r="B15" s="2" t="s">
        <v>102</v>
      </c>
      <c r="C15" s="2" t="s">
        <v>104</v>
      </c>
      <c r="D15" s="2" t="s">
        <v>121</v>
      </c>
      <c r="E15" s="3">
        <v>4800</v>
      </c>
      <c r="F15" s="3">
        <v>720</v>
      </c>
      <c r="G15" s="2" t="s">
        <v>122</v>
      </c>
      <c r="H15" s="2" t="b">
        <v>1</v>
      </c>
      <c r="I15" s="2" t="str">
        <f t="shared" si="0"/>
        <v>ok</v>
      </c>
    </row>
    <row r="16" spans="1:9" ht="16.5">
      <c r="A16" s="2" t="s">
        <v>137</v>
      </c>
      <c r="B16" s="2" t="s">
        <v>102</v>
      </c>
      <c r="C16" s="2" t="s">
        <v>106</v>
      </c>
      <c r="D16" s="2" t="s">
        <v>124</v>
      </c>
      <c r="E16" s="3">
        <v>4800</v>
      </c>
      <c r="F16" s="3">
        <v>720</v>
      </c>
      <c r="G16" s="2" t="s">
        <v>125</v>
      </c>
      <c r="H16" s="2" t="b">
        <v>1</v>
      </c>
      <c r="I16" s="2" t="str">
        <f t="shared" si="0"/>
        <v>ok</v>
      </c>
    </row>
  </sheetData>
  <autoFilter ref="A1:I16" xr:uid="{00000000-0009-0000-0000-000002000000}"/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4E79"/>
  </sheetPr>
  <dimension ref="A1:D2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3" width="14" customWidth="1"/>
    <col min="4" max="4" width="24" customWidth="1"/>
  </cols>
  <sheetData>
    <row r="1" spans="1:4" ht="21.95" customHeight="1">
      <c r="A1" s="1" t="s">
        <v>138</v>
      </c>
      <c r="B1" s="1" t="s">
        <v>139</v>
      </c>
      <c r="C1" s="1" t="s">
        <v>140</v>
      </c>
      <c r="D1" s="1" t="s">
        <v>141</v>
      </c>
    </row>
    <row r="2" spans="1:4" ht="16.5">
      <c r="A2" s="4">
        <v>1</v>
      </c>
      <c r="B2" s="4">
        <v>68</v>
      </c>
      <c r="C2" s="2">
        <f>B2</f>
        <v>68</v>
      </c>
      <c r="D2" s="2">
        <f t="shared" ref="D2:D26" si="0">IF(C2=0,1,C2/220)</f>
        <v>0.30909090909090908</v>
      </c>
    </row>
    <row r="3" spans="1:4" ht="16.5">
      <c r="A3" s="4">
        <v>2</v>
      </c>
      <c r="B3" s="4">
        <v>92</v>
      </c>
      <c r="C3" s="2">
        <f t="shared" ref="C3:C26" si="1">C2+B3</f>
        <v>160</v>
      </c>
      <c r="D3" s="2">
        <f t="shared" si="0"/>
        <v>0.72727272727272729</v>
      </c>
    </row>
    <row r="4" spans="1:4" ht="16.5">
      <c r="A4" s="4">
        <v>3</v>
      </c>
      <c r="B4" s="4">
        <v>132</v>
      </c>
      <c r="C4" s="2">
        <f t="shared" si="1"/>
        <v>292</v>
      </c>
      <c r="D4" s="2">
        <f t="shared" si="0"/>
        <v>1.3272727272727274</v>
      </c>
    </row>
    <row r="5" spans="1:4" ht="16.5">
      <c r="A5" s="4">
        <v>4</v>
      </c>
      <c r="B5" s="4">
        <v>188</v>
      </c>
      <c r="C5" s="2">
        <f t="shared" si="1"/>
        <v>480</v>
      </c>
      <c r="D5" s="2">
        <f t="shared" si="0"/>
        <v>2.1818181818181817</v>
      </c>
    </row>
    <row r="6" spans="1:4" ht="16.5">
      <c r="A6" s="4">
        <v>5</v>
      </c>
      <c r="B6" s="4">
        <v>260</v>
      </c>
      <c r="C6" s="2">
        <f t="shared" si="1"/>
        <v>740</v>
      </c>
      <c r="D6" s="2">
        <f t="shared" si="0"/>
        <v>3.3636363636363638</v>
      </c>
    </row>
    <row r="7" spans="1:4" ht="16.5">
      <c r="A7" s="4">
        <v>6</v>
      </c>
      <c r="B7" s="4">
        <v>348</v>
      </c>
      <c r="C7" s="2">
        <f t="shared" si="1"/>
        <v>1088</v>
      </c>
      <c r="D7" s="2">
        <f t="shared" si="0"/>
        <v>4.9454545454545453</v>
      </c>
    </row>
    <row r="8" spans="1:4" ht="16.5">
      <c r="A8" s="4">
        <v>7</v>
      </c>
      <c r="B8" s="4">
        <v>452</v>
      </c>
      <c r="C8" s="2">
        <f t="shared" si="1"/>
        <v>1540</v>
      </c>
      <c r="D8" s="2">
        <f t="shared" si="0"/>
        <v>7</v>
      </c>
    </row>
    <row r="9" spans="1:4" ht="16.5">
      <c r="A9" s="4">
        <v>8</v>
      </c>
      <c r="B9" s="4">
        <v>572</v>
      </c>
      <c r="C9" s="2">
        <f t="shared" si="1"/>
        <v>2112</v>
      </c>
      <c r="D9" s="2">
        <f t="shared" si="0"/>
        <v>9.6</v>
      </c>
    </row>
    <row r="10" spans="1:4" ht="16.5">
      <c r="A10" s="4">
        <v>9</v>
      </c>
      <c r="B10" s="4">
        <v>708</v>
      </c>
      <c r="C10" s="2">
        <f t="shared" si="1"/>
        <v>2820</v>
      </c>
      <c r="D10" s="2">
        <f t="shared" si="0"/>
        <v>12.818181818181818</v>
      </c>
    </row>
    <row r="11" spans="1:4" ht="16.5">
      <c r="A11" s="4">
        <v>10</v>
      </c>
      <c r="B11" s="4">
        <v>860</v>
      </c>
      <c r="C11" s="2">
        <f t="shared" si="1"/>
        <v>3680</v>
      </c>
      <c r="D11" s="2">
        <f t="shared" si="0"/>
        <v>16.727272727272727</v>
      </c>
    </row>
    <row r="12" spans="1:4" ht="16.5">
      <c r="A12" s="4">
        <v>11</v>
      </c>
      <c r="B12" s="4">
        <v>1028</v>
      </c>
      <c r="C12" s="2">
        <f t="shared" si="1"/>
        <v>4708</v>
      </c>
      <c r="D12" s="2">
        <f t="shared" si="0"/>
        <v>21.4</v>
      </c>
    </row>
    <row r="13" spans="1:4" ht="16.5">
      <c r="A13" s="4">
        <v>12</v>
      </c>
      <c r="B13" s="4">
        <v>1212</v>
      </c>
      <c r="C13" s="2">
        <f t="shared" si="1"/>
        <v>5920</v>
      </c>
      <c r="D13" s="2">
        <f t="shared" si="0"/>
        <v>26.90909090909091</v>
      </c>
    </row>
    <row r="14" spans="1:4" ht="16.5">
      <c r="A14" s="4">
        <v>13</v>
      </c>
      <c r="B14" s="4">
        <v>1412</v>
      </c>
      <c r="C14" s="2">
        <f t="shared" si="1"/>
        <v>7332</v>
      </c>
      <c r="D14" s="2">
        <f t="shared" si="0"/>
        <v>33.327272727272728</v>
      </c>
    </row>
    <row r="15" spans="1:4" ht="16.5">
      <c r="A15" s="4">
        <v>14</v>
      </c>
      <c r="B15" s="4">
        <v>1628</v>
      </c>
      <c r="C15" s="2">
        <f t="shared" si="1"/>
        <v>8960</v>
      </c>
      <c r="D15" s="2">
        <f t="shared" si="0"/>
        <v>40.727272727272727</v>
      </c>
    </row>
    <row r="16" spans="1:4" ht="16.5">
      <c r="A16" s="4">
        <v>15</v>
      </c>
      <c r="B16" s="4">
        <v>1860</v>
      </c>
      <c r="C16" s="2">
        <f t="shared" si="1"/>
        <v>10820</v>
      </c>
      <c r="D16" s="2">
        <f t="shared" si="0"/>
        <v>49.18181818181818</v>
      </c>
    </row>
    <row r="17" spans="1:4" ht="16.5">
      <c r="A17" s="4">
        <v>16</v>
      </c>
      <c r="B17" s="4">
        <v>2108</v>
      </c>
      <c r="C17" s="2">
        <f t="shared" si="1"/>
        <v>12928</v>
      </c>
      <c r="D17" s="2">
        <f t="shared" si="0"/>
        <v>58.763636363636365</v>
      </c>
    </row>
    <row r="18" spans="1:4" ht="16.5">
      <c r="A18" s="4">
        <v>17</v>
      </c>
      <c r="B18" s="4">
        <v>2372</v>
      </c>
      <c r="C18" s="2">
        <f t="shared" si="1"/>
        <v>15300</v>
      </c>
      <c r="D18" s="2">
        <f t="shared" si="0"/>
        <v>69.545454545454547</v>
      </c>
    </row>
    <row r="19" spans="1:4" ht="16.5">
      <c r="A19" s="4">
        <v>18</v>
      </c>
      <c r="B19" s="4">
        <v>2652</v>
      </c>
      <c r="C19" s="2">
        <f t="shared" si="1"/>
        <v>17952</v>
      </c>
      <c r="D19" s="2">
        <f t="shared" si="0"/>
        <v>81.599999999999994</v>
      </c>
    </row>
    <row r="20" spans="1:4" ht="16.5">
      <c r="A20" s="4">
        <v>19</v>
      </c>
      <c r="B20" s="4">
        <v>2948</v>
      </c>
      <c r="C20" s="2">
        <f t="shared" si="1"/>
        <v>20900</v>
      </c>
      <c r="D20" s="2">
        <f t="shared" si="0"/>
        <v>95</v>
      </c>
    </row>
    <row r="21" spans="1:4" ht="16.5">
      <c r="A21" s="4">
        <v>20</v>
      </c>
      <c r="B21" s="4">
        <v>3260</v>
      </c>
      <c r="C21" s="2">
        <f t="shared" si="1"/>
        <v>24160</v>
      </c>
      <c r="D21" s="2">
        <f t="shared" si="0"/>
        <v>109.81818181818181</v>
      </c>
    </row>
    <row r="22" spans="1:4" ht="16.5">
      <c r="A22" s="4">
        <v>21</v>
      </c>
      <c r="B22" s="4">
        <v>3588</v>
      </c>
      <c r="C22" s="2">
        <f t="shared" si="1"/>
        <v>27748</v>
      </c>
      <c r="D22" s="2">
        <f t="shared" si="0"/>
        <v>126.12727272727273</v>
      </c>
    </row>
    <row r="23" spans="1:4" ht="16.5">
      <c r="A23" s="4">
        <v>22</v>
      </c>
      <c r="B23" s="4">
        <v>3932</v>
      </c>
      <c r="C23" s="2">
        <f t="shared" si="1"/>
        <v>31680</v>
      </c>
      <c r="D23" s="2">
        <f t="shared" si="0"/>
        <v>144</v>
      </c>
    </row>
    <row r="24" spans="1:4" ht="16.5">
      <c r="A24" s="4">
        <v>23</v>
      </c>
      <c r="B24" s="4">
        <v>4292</v>
      </c>
      <c r="C24" s="2">
        <f t="shared" si="1"/>
        <v>35972</v>
      </c>
      <c r="D24" s="2">
        <f t="shared" si="0"/>
        <v>163.5090909090909</v>
      </c>
    </row>
    <row r="25" spans="1:4" ht="16.5">
      <c r="A25" s="4">
        <v>24</v>
      </c>
      <c r="B25" s="4">
        <v>4668</v>
      </c>
      <c r="C25" s="2">
        <f t="shared" si="1"/>
        <v>40640</v>
      </c>
      <c r="D25" s="2">
        <f t="shared" si="0"/>
        <v>184.72727272727272</v>
      </c>
    </row>
    <row r="26" spans="1:4" ht="16.5">
      <c r="A26" s="4">
        <v>25</v>
      </c>
      <c r="B26" s="4">
        <v>0</v>
      </c>
      <c r="C26" s="2">
        <f t="shared" si="1"/>
        <v>40640</v>
      </c>
      <c r="D26" s="2">
        <f t="shared" si="0"/>
        <v>184.72727272727272</v>
      </c>
    </row>
  </sheetData>
  <autoFilter ref="A1:D26" xr:uid="{00000000-0009-0000-0000-000003000000}"/>
  <phoneticPr fontId="3" type="noConversion"/>
  <conditionalFormatting sqref="D2:D26">
    <cfRule type="cellIs" dxfId="13" priority="1" operator="greaterThan">
      <formula>80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E79"/>
  </sheetPr>
  <dimension ref="A1:G4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0" customWidth="1"/>
    <col min="2" max="2" width="14" customWidth="1"/>
    <col min="3" max="3" width="17" customWidth="1"/>
    <col min="4" max="4" width="14" customWidth="1"/>
    <col min="5" max="5" width="26" customWidth="1"/>
    <col min="6" max="7" width="14" customWidth="1"/>
  </cols>
  <sheetData>
    <row r="1" spans="1:7" ht="21.95" customHeight="1">
      <c r="A1" s="1" t="s">
        <v>48</v>
      </c>
      <c r="B1" s="1" t="s">
        <v>49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58</v>
      </c>
    </row>
    <row r="2" spans="1:7" ht="16.5">
      <c r="A2" s="2" t="s">
        <v>146</v>
      </c>
      <c r="B2" s="2" t="s">
        <v>147</v>
      </c>
      <c r="C2" s="2" t="s">
        <v>148</v>
      </c>
      <c r="D2" s="2" t="s">
        <v>149</v>
      </c>
      <c r="E2" s="2" t="s">
        <v>150</v>
      </c>
      <c r="F2" s="3">
        <v>2</v>
      </c>
      <c r="G2" s="2" t="s">
        <v>63</v>
      </c>
    </row>
    <row r="3" spans="1:7" ht="16.5">
      <c r="A3" s="2" t="s">
        <v>151</v>
      </c>
      <c r="B3" s="2" t="s">
        <v>152</v>
      </c>
      <c r="C3" s="2" t="s">
        <v>148</v>
      </c>
      <c r="D3" s="2" t="s">
        <v>149</v>
      </c>
      <c r="E3" s="2" t="s">
        <v>150</v>
      </c>
      <c r="F3" s="3">
        <v>2</v>
      </c>
      <c r="G3" s="2" t="s">
        <v>63</v>
      </c>
    </row>
    <row r="4" spans="1:7" ht="16.5">
      <c r="A4" s="2" t="s">
        <v>153</v>
      </c>
      <c r="B4" s="2" t="s">
        <v>154</v>
      </c>
      <c r="C4" s="2" t="s">
        <v>148</v>
      </c>
      <c r="D4" s="2" t="s">
        <v>149</v>
      </c>
      <c r="E4" s="2" t="s">
        <v>150</v>
      </c>
      <c r="F4" s="3">
        <v>2</v>
      </c>
      <c r="G4" s="2" t="s">
        <v>63</v>
      </c>
    </row>
    <row r="5" spans="1:7" ht="16.5">
      <c r="A5" s="2" t="s">
        <v>155</v>
      </c>
      <c r="B5" s="2" t="s">
        <v>156</v>
      </c>
      <c r="C5" s="2" t="s">
        <v>148</v>
      </c>
      <c r="D5" s="2" t="s">
        <v>149</v>
      </c>
      <c r="E5" s="2" t="s">
        <v>150</v>
      </c>
      <c r="F5" s="3">
        <v>2</v>
      </c>
      <c r="G5" s="2" t="s">
        <v>63</v>
      </c>
    </row>
    <row r="6" spans="1:7" ht="16.5">
      <c r="A6" s="2" t="s">
        <v>157</v>
      </c>
      <c r="B6" s="2" t="s">
        <v>158</v>
      </c>
      <c r="C6" s="2" t="s">
        <v>148</v>
      </c>
      <c r="D6" s="2" t="s">
        <v>149</v>
      </c>
      <c r="E6" s="2" t="s">
        <v>150</v>
      </c>
      <c r="F6" s="3">
        <v>2</v>
      </c>
      <c r="G6" s="2" t="s">
        <v>63</v>
      </c>
    </row>
    <row r="7" spans="1:7" ht="16.5">
      <c r="A7" s="2" t="s">
        <v>159</v>
      </c>
      <c r="B7" s="2" t="s">
        <v>160</v>
      </c>
      <c r="C7" s="2" t="s">
        <v>148</v>
      </c>
      <c r="D7" s="2" t="s">
        <v>149</v>
      </c>
      <c r="E7" s="2" t="s">
        <v>150</v>
      </c>
      <c r="F7" s="3">
        <v>2</v>
      </c>
      <c r="G7" s="2" t="s">
        <v>63</v>
      </c>
    </row>
    <row r="8" spans="1:7" ht="16.5">
      <c r="A8" s="2" t="s">
        <v>161</v>
      </c>
      <c r="B8" s="2" t="s">
        <v>162</v>
      </c>
      <c r="C8" s="2" t="s">
        <v>148</v>
      </c>
      <c r="D8" s="2" t="s">
        <v>149</v>
      </c>
      <c r="E8" s="2" t="s">
        <v>150</v>
      </c>
      <c r="F8" s="3">
        <v>2</v>
      </c>
      <c r="G8" s="2" t="s">
        <v>63</v>
      </c>
    </row>
    <row r="9" spans="1:7" ht="16.5">
      <c r="A9" s="2" t="s">
        <v>163</v>
      </c>
      <c r="B9" s="2" t="s">
        <v>164</v>
      </c>
      <c r="C9" s="2" t="s">
        <v>148</v>
      </c>
      <c r="D9" s="2" t="s">
        <v>149</v>
      </c>
      <c r="E9" s="2" t="s">
        <v>150</v>
      </c>
      <c r="F9" s="3">
        <v>2</v>
      </c>
      <c r="G9" s="2" t="s">
        <v>63</v>
      </c>
    </row>
    <row r="10" spans="1:7" ht="16.5">
      <c r="A10" s="2" t="s">
        <v>165</v>
      </c>
      <c r="B10" s="2" t="s">
        <v>166</v>
      </c>
      <c r="C10" s="2" t="s">
        <v>167</v>
      </c>
      <c r="D10" s="2" t="s">
        <v>149</v>
      </c>
      <c r="E10" s="2" t="s">
        <v>150</v>
      </c>
      <c r="F10" s="3">
        <v>2</v>
      </c>
      <c r="G10" s="2" t="s">
        <v>63</v>
      </c>
    </row>
    <row r="11" spans="1:7" ht="16.5">
      <c r="A11" s="2" t="s">
        <v>168</v>
      </c>
      <c r="B11" s="2" t="s">
        <v>169</v>
      </c>
      <c r="C11" s="2" t="s">
        <v>167</v>
      </c>
      <c r="D11" s="2" t="s">
        <v>149</v>
      </c>
      <c r="E11" s="2" t="s">
        <v>150</v>
      </c>
      <c r="F11" s="3">
        <v>2</v>
      </c>
      <c r="G11" s="2" t="s">
        <v>63</v>
      </c>
    </row>
    <row r="12" spans="1:7" ht="16.5">
      <c r="A12" s="2" t="s">
        <v>170</v>
      </c>
      <c r="B12" s="2" t="s">
        <v>171</v>
      </c>
      <c r="C12" s="2" t="s">
        <v>167</v>
      </c>
      <c r="D12" s="2" t="s">
        <v>149</v>
      </c>
      <c r="E12" s="2" t="s">
        <v>150</v>
      </c>
      <c r="F12" s="3">
        <v>2</v>
      </c>
      <c r="G12" s="2" t="s">
        <v>63</v>
      </c>
    </row>
    <row r="13" spans="1:7" ht="16.5">
      <c r="A13" s="2" t="s">
        <v>172</v>
      </c>
      <c r="B13" s="2" t="s">
        <v>173</v>
      </c>
      <c r="C13" s="2" t="s">
        <v>167</v>
      </c>
      <c r="D13" s="2" t="s">
        <v>149</v>
      </c>
      <c r="E13" s="2" t="s">
        <v>150</v>
      </c>
      <c r="F13" s="3">
        <v>2</v>
      </c>
      <c r="G13" s="2" t="s">
        <v>63</v>
      </c>
    </row>
    <row r="14" spans="1:7" ht="16.5">
      <c r="A14" s="2" t="s">
        <v>174</v>
      </c>
      <c r="B14" s="2" t="s">
        <v>175</v>
      </c>
      <c r="C14" s="2" t="s">
        <v>167</v>
      </c>
      <c r="D14" s="2" t="s">
        <v>149</v>
      </c>
      <c r="E14" s="2" t="s">
        <v>150</v>
      </c>
      <c r="F14" s="3">
        <v>2</v>
      </c>
      <c r="G14" s="2" t="s">
        <v>63</v>
      </c>
    </row>
    <row r="15" spans="1:7" ht="16.5">
      <c r="A15" s="2" t="s">
        <v>176</v>
      </c>
      <c r="B15" s="2" t="s">
        <v>177</v>
      </c>
      <c r="C15" s="2" t="s">
        <v>167</v>
      </c>
      <c r="D15" s="2" t="s">
        <v>149</v>
      </c>
      <c r="E15" s="2" t="s">
        <v>150</v>
      </c>
      <c r="F15" s="3">
        <v>2</v>
      </c>
      <c r="G15" s="2" t="s">
        <v>63</v>
      </c>
    </row>
    <row r="16" spans="1:7" ht="16.5">
      <c r="A16" s="2" t="s">
        <v>178</v>
      </c>
      <c r="B16" s="2" t="s">
        <v>179</v>
      </c>
      <c r="C16" s="2" t="s">
        <v>180</v>
      </c>
      <c r="D16" s="2" t="s">
        <v>181</v>
      </c>
      <c r="E16" s="2" t="s">
        <v>150</v>
      </c>
      <c r="F16" s="3">
        <v>2</v>
      </c>
      <c r="G16" s="2" t="s">
        <v>63</v>
      </c>
    </row>
    <row r="17" spans="1:7" ht="16.5">
      <c r="A17" s="2" t="s">
        <v>182</v>
      </c>
      <c r="B17" s="2" t="s">
        <v>183</v>
      </c>
      <c r="C17" s="2" t="s">
        <v>180</v>
      </c>
      <c r="D17" s="2" t="s">
        <v>181</v>
      </c>
      <c r="E17" s="2" t="s">
        <v>150</v>
      </c>
      <c r="F17" s="3">
        <v>2</v>
      </c>
      <c r="G17" s="2" t="s">
        <v>63</v>
      </c>
    </row>
    <row r="18" spans="1:7" ht="16.5">
      <c r="A18" s="2" t="s">
        <v>184</v>
      </c>
      <c r="B18" s="2" t="s">
        <v>185</v>
      </c>
      <c r="C18" s="2" t="s">
        <v>180</v>
      </c>
      <c r="D18" s="2" t="s">
        <v>181</v>
      </c>
      <c r="E18" s="2" t="s">
        <v>150</v>
      </c>
      <c r="F18" s="3">
        <v>2</v>
      </c>
      <c r="G18" s="2" t="s">
        <v>63</v>
      </c>
    </row>
    <row r="19" spans="1:7" ht="16.5">
      <c r="A19" s="2" t="s">
        <v>186</v>
      </c>
      <c r="B19" s="2" t="s">
        <v>187</v>
      </c>
      <c r="C19" s="2" t="s">
        <v>180</v>
      </c>
      <c r="D19" s="2" t="s">
        <v>181</v>
      </c>
      <c r="E19" s="2" t="s">
        <v>150</v>
      </c>
      <c r="F19" s="3">
        <v>2</v>
      </c>
      <c r="G19" s="2" t="s">
        <v>63</v>
      </c>
    </row>
    <row r="20" spans="1:7" ht="16.5">
      <c r="A20" s="2" t="s">
        <v>188</v>
      </c>
      <c r="B20" s="2" t="s">
        <v>189</v>
      </c>
      <c r="C20" s="2" t="s">
        <v>190</v>
      </c>
      <c r="D20" s="2" t="s">
        <v>149</v>
      </c>
      <c r="E20" s="2" t="s">
        <v>150</v>
      </c>
      <c r="F20" s="3">
        <v>2</v>
      </c>
      <c r="G20" s="2" t="s">
        <v>63</v>
      </c>
    </row>
    <row r="21" spans="1:7" ht="16.5">
      <c r="A21" s="2" t="s">
        <v>191</v>
      </c>
      <c r="B21" s="2" t="s">
        <v>192</v>
      </c>
      <c r="C21" s="2" t="s">
        <v>190</v>
      </c>
      <c r="D21" s="2" t="s">
        <v>149</v>
      </c>
      <c r="E21" s="2" t="s">
        <v>150</v>
      </c>
      <c r="F21" s="3">
        <v>2</v>
      </c>
      <c r="G21" s="2" t="s">
        <v>63</v>
      </c>
    </row>
    <row r="22" spans="1:7" ht="16.5">
      <c r="A22" s="2" t="s">
        <v>193</v>
      </c>
      <c r="B22" s="2" t="s">
        <v>194</v>
      </c>
      <c r="C22" s="2" t="s">
        <v>190</v>
      </c>
      <c r="D22" s="2" t="s">
        <v>149</v>
      </c>
      <c r="E22" s="2" t="s">
        <v>150</v>
      </c>
      <c r="F22" s="3">
        <v>2</v>
      </c>
      <c r="G22" s="2" t="s">
        <v>63</v>
      </c>
    </row>
    <row r="23" spans="1:7" ht="16.5">
      <c r="A23" s="2" t="s">
        <v>195</v>
      </c>
      <c r="B23" s="2" t="s">
        <v>196</v>
      </c>
      <c r="C23" s="2" t="s">
        <v>190</v>
      </c>
      <c r="D23" s="2" t="s">
        <v>149</v>
      </c>
      <c r="E23" s="2" t="s">
        <v>150</v>
      </c>
      <c r="F23" s="3">
        <v>2</v>
      </c>
      <c r="G23" s="2" t="s">
        <v>63</v>
      </c>
    </row>
    <row r="24" spans="1:7" ht="16.5">
      <c r="A24" s="2" t="s">
        <v>197</v>
      </c>
      <c r="B24" s="2" t="s">
        <v>198</v>
      </c>
      <c r="C24" s="2" t="s">
        <v>190</v>
      </c>
      <c r="D24" s="2" t="s">
        <v>149</v>
      </c>
      <c r="E24" s="2" t="s">
        <v>150</v>
      </c>
      <c r="F24" s="3">
        <v>2</v>
      </c>
      <c r="G24" s="2" t="s">
        <v>63</v>
      </c>
    </row>
    <row r="25" spans="1:7" ht="16.5">
      <c r="A25" s="2" t="s">
        <v>199</v>
      </c>
      <c r="B25" s="2" t="s">
        <v>200</v>
      </c>
      <c r="C25" s="2" t="s">
        <v>190</v>
      </c>
      <c r="D25" s="2" t="s">
        <v>149</v>
      </c>
      <c r="E25" s="2" t="s">
        <v>150</v>
      </c>
      <c r="F25" s="3">
        <v>2</v>
      </c>
      <c r="G25" s="2" t="s">
        <v>63</v>
      </c>
    </row>
    <row r="26" spans="1:7" ht="16.5">
      <c r="A26" s="2" t="s">
        <v>201</v>
      </c>
      <c r="B26" s="2" t="s">
        <v>202</v>
      </c>
      <c r="C26" s="2" t="s">
        <v>190</v>
      </c>
      <c r="D26" s="2" t="s">
        <v>149</v>
      </c>
      <c r="E26" s="2" t="s">
        <v>150</v>
      </c>
      <c r="F26" s="3">
        <v>2</v>
      </c>
      <c r="G26" s="2" t="s">
        <v>63</v>
      </c>
    </row>
    <row r="27" spans="1:7" ht="16.5">
      <c r="A27" s="2" t="s">
        <v>203</v>
      </c>
      <c r="B27" s="2" t="s">
        <v>204</v>
      </c>
      <c r="C27" s="2" t="s">
        <v>190</v>
      </c>
      <c r="D27" s="2" t="s">
        <v>149</v>
      </c>
      <c r="E27" s="2" t="s">
        <v>150</v>
      </c>
      <c r="F27" s="3">
        <v>2</v>
      </c>
      <c r="G27" s="2" t="s">
        <v>63</v>
      </c>
    </row>
    <row r="28" spans="1:7" ht="16.5">
      <c r="A28" s="2" t="s">
        <v>205</v>
      </c>
      <c r="B28" s="2" t="s">
        <v>206</v>
      </c>
      <c r="C28" s="2" t="s">
        <v>190</v>
      </c>
      <c r="D28" s="2" t="s">
        <v>149</v>
      </c>
      <c r="E28" s="2" t="s">
        <v>150</v>
      </c>
      <c r="F28" s="3">
        <v>2</v>
      </c>
      <c r="G28" s="2" t="s">
        <v>63</v>
      </c>
    </row>
    <row r="29" spans="1:7" ht="16.5">
      <c r="A29" s="2" t="s">
        <v>207</v>
      </c>
      <c r="B29" s="2" t="s">
        <v>208</v>
      </c>
      <c r="C29" s="2" t="s">
        <v>190</v>
      </c>
      <c r="D29" s="2" t="s">
        <v>149</v>
      </c>
      <c r="E29" s="2" t="s">
        <v>150</v>
      </c>
      <c r="F29" s="3">
        <v>2</v>
      </c>
      <c r="G29" s="2" t="s">
        <v>63</v>
      </c>
    </row>
    <row r="30" spans="1:7" ht="16.5">
      <c r="A30" s="2" t="s">
        <v>209</v>
      </c>
      <c r="B30" s="2" t="s">
        <v>210</v>
      </c>
      <c r="C30" s="2" t="s">
        <v>190</v>
      </c>
      <c r="D30" s="2" t="s">
        <v>149</v>
      </c>
      <c r="E30" s="2" t="s">
        <v>150</v>
      </c>
      <c r="F30" s="3">
        <v>2</v>
      </c>
      <c r="G30" s="2" t="s">
        <v>63</v>
      </c>
    </row>
    <row r="31" spans="1:7" ht="16.5">
      <c r="A31" s="2" t="s">
        <v>211</v>
      </c>
      <c r="B31" s="2" t="s">
        <v>212</v>
      </c>
      <c r="C31" s="2" t="s">
        <v>190</v>
      </c>
      <c r="D31" s="2" t="s">
        <v>149</v>
      </c>
      <c r="E31" s="2" t="s">
        <v>150</v>
      </c>
      <c r="F31" s="3">
        <v>2</v>
      </c>
      <c r="G31" s="2" t="s">
        <v>63</v>
      </c>
    </row>
    <row r="32" spans="1:7" ht="16.5">
      <c r="A32" s="2" t="s">
        <v>213</v>
      </c>
      <c r="B32" s="2" t="s">
        <v>214</v>
      </c>
      <c r="C32" s="2" t="s">
        <v>215</v>
      </c>
      <c r="D32" s="2" t="s">
        <v>216</v>
      </c>
      <c r="E32" s="2" t="s">
        <v>150</v>
      </c>
      <c r="F32" s="3">
        <v>2</v>
      </c>
      <c r="G32" s="2" t="s">
        <v>63</v>
      </c>
    </row>
    <row r="33" spans="1:7" ht="16.5">
      <c r="A33" s="2" t="s">
        <v>217</v>
      </c>
      <c r="B33" s="2" t="s">
        <v>218</v>
      </c>
      <c r="C33" s="2" t="s">
        <v>215</v>
      </c>
      <c r="D33" s="2" t="s">
        <v>216</v>
      </c>
      <c r="E33" s="2" t="s">
        <v>150</v>
      </c>
      <c r="F33" s="3">
        <v>2</v>
      </c>
      <c r="G33" s="2" t="s">
        <v>63</v>
      </c>
    </row>
    <row r="34" spans="1:7" ht="16.5">
      <c r="A34" s="2" t="s">
        <v>219</v>
      </c>
      <c r="B34" s="2" t="s">
        <v>220</v>
      </c>
      <c r="C34" s="2" t="s">
        <v>215</v>
      </c>
      <c r="D34" s="2" t="s">
        <v>216</v>
      </c>
      <c r="E34" s="2" t="s">
        <v>150</v>
      </c>
      <c r="F34" s="3">
        <v>2</v>
      </c>
      <c r="G34" s="2" t="s">
        <v>63</v>
      </c>
    </row>
    <row r="35" spans="1:7" ht="16.5">
      <c r="A35" s="2" t="s">
        <v>221</v>
      </c>
      <c r="B35" s="2" t="s">
        <v>222</v>
      </c>
      <c r="C35" s="2" t="s">
        <v>215</v>
      </c>
      <c r="D35" s="2" t="s">
        <v>216</v>
      </c>
      <c r="E35" s="2" t="s">
        <v>150</v>
      </c>
      <c r="F35" s="3">
        <v>2</v>
      </c>
      <c r="G35" s="2" t="s">
        <v>63</v>
      </c>
    </row>
    <row r="36" spans="1:7" ht="16.5">
      <c r="A36" s="2" t="s">
        <v>223</v>
      </c>
      <c r="B36" s="2" t="s">
        <v>224</v>
      </c>
      <c r="C36" s="2" t="s">
        <v>215</v>
      </c>
      <c r="D36" s="2" t="s">
        <v>216</v>
      </c>
      <c r="E36" s="2" t="s">
        <v>150</v>
      </c>
      <c r="F36" s="3">
        <v>2</v>
      </c>
      <c r="G36" s="2" t="s">
        <v>63</v>
      </c>
    </row>
    <row r="37" spans="1:7" ht="16.5">
      <c r="A37" s="2" t="s">
        <v>225</v>
      </c>
      <c r="B37" s="2" t="s">
        <v>226</v>
      </c>
      <c r="C37" s="2" t="s">
        <v>227</v>
      </c>
      <c r="D37" s="2" t="s">
        <v>228</v>
      </c>
      <c r="E37" s="2" t="s">
        <v>150</v>
      </c>
      <c r="F37" s="3">
        <v>2</v>
      </c>
      <c r="G37" s="2" t="s">
        <v>63</v>
      </c>
    </row>
    <row r="38" spans="1:7" ht="16.5">
      <c r="A38" s="2" t="s">
        <v>229</v>
      </c>
      <c r="B38" s="2" t="s">
        <v>230</v>
      </c>
      <c r="C38" s="2" t="s">
        <v>227</v>
      </c>
      <c r="D38" s="2" t="s">
        <v>228</v>
      </c>
      <c r="E38" s="2" t="s">
        <v>150</v>
      </c>
      <c r="F38" s="3">
        <v>2</v>
      </c>
      <c r="G38" s="2" t="s">
        <v>63</v>
      </c>
    </row>
    <row r="39" spans="1:7" ht="16.5">
      <c r="A39" s="2" t="s">
        <v>231</v>
      </c>
      <c r="B39" s="2" t="s">
        <v>232</v>
      </c>
      <c r="C39" s="2" t="s">
        <v>227</v>
      </c>
      <c r="D39" s="2" t="s">
        <v>228</v>
      </c>
      <c r="E39" s="2" t="s">
        <v>150</v>
      </c>
      <c r="F39" s="3">
        <v>2</v>
      </c>
      <c r="G39" s="2" t="s">
        <v>63</v>
      </c>
    </row>
    <row r="40" spans="1:7" ht="16.5">
      <c r="A40" s="2" t="s">
        <v>233</v>
      </c>
      <c r="B40" s="2" t="s">
        <v>234</v>
      </c>
      <c r="C40" s="2" t="s">
        <v>235</v>
      </c>
      <c r="D40" s="2" t="s">
        <v>216</v>
      </c>
      <c r="E40" s="2" t="s">
        <v>150</v>
      </c>
      <c r="F40" s="3">
        <v>2</v>
      </c>
      <c r="G40" s="2" t="s">
        <v>63</v>
      </c>
    </row>
    <row r="41" spans="1:7" ht="16.5">
      <c r="A41" s="2" t="s">
        <v>236</v>
      </c>
      <c r="B41" s="2" t="s">
        <v>237</v>
      </c>
      <c r="C41" s="2" t="s">
        <v>235</v>
      </c>
      <c r="D41" s="2" t="s">
        <v>216</v>
      </c>
      <c r="E41" s="2" t="s">
        <v>150</v>
      </c>
      <c r="F41" s="3">
        <v>2</v>
      </c>
      <c r="G41" s="2" t="s">
        <v>63</v>
      </c>
    </row>
    <row r="42" spans="1:7" ht="16.5">
      <c r="A42" s="2" t="s">
        <v>238</v>
      </c>
      <c r="B42" s="2" t="s">
        <v>239</v>
      </c>
      <c r="C42" s="2" t="s">
        <v>235</v>
      </c>
      <c r="D42" s="2" t="s">
        <v>216</v>
      </c>
      <c r="E42" s="2" t="s">
        <v>150</v>
      </c>
      <c r="F42" s="3">
        <v>2</v>
      </c>
      <c r="G42" s="2" t="s">
        <v>63</v>
      </c>
    </row>
    <row r="43" spans="1:7" ht="16.5">
      <c r="A43" s="2" t="s">
        <v>240</v>
      </c>
      <c r="B43" s="2" t="s">
        <v>241</v>
      </c>
      <c r="C43" s="2" t="s">
        <v>242</v>
      </c>
      <c r="D43" s="2" t="s">
        <v>216</v>
      </c>
      <c r="E43" s="2" t="s">
        <v>150</v>
      </c>
      <c r="F43" s="3">
        <v>2</v>
      </c>
      <c r="G43" s="2" t="s">
        <v>63</v>
      </c>
    </row>
    <row r="44" spans="1:7" ht="16.5">
      <c r="A44" s="2" t="s">
        <v>243</v>
      </c>
      <c r="B44" s="2" t="s">
        <v>244</v>
      </c>
      <c r="C44" s="2" t="s">
        <v>242</v>
      </c>
      <c r="D44" s="2" t="s">
        <v>216</v>
      </c>
      <c r="E44" s="2" t="s">
        <v>150</v>
      </c>
      <c r="F44" s="3">
        <v>2</v>
      </c>
      <c r="G44" s="2" t="s">
        <v>63</v>
      </c>
    </row>
    <row r="45" spans="1:7" ht="16.5">
      <c r="A45" s="2" t="s">
        <v>245</v>
      </c>
      <c r="B45" s="2" t="s">
        <v>246</v>
      </c>
      <c r="C45" s="2" t="s">
        <v>242</v>
      </c>
      <c r="D45" s="2" t="s">
        <v>216</v>
      </c>
      <c r="E45" s="2" t="s">
        <v>150</v>
      </c>
      <c r="F45" s="3">
        <v>2</v>
      </c>
      <c r="G45" s="2" t="s">
        <v>63</v>
      </c>
    </row>
    <row r="46" spans="1:7" ht="16.5">
      <c r="A46" s="2" t="s">
        <v>247</v>
      </c>
      <c r="B46" s="2" t="s">
        <v>248</v>
      </c>
      <c r="C46" s="2" t="s">
        <v>242</v>
      </c>
      <c r="D46" s="2" t="s">
        <v>216</v>
      </c>
      <c r="E46" s="2" t="s">
        <v>150</v>
      </c>
      <c r="F46" s="3">
        <v>2</v>
      </c>
      <c r="G46" s="2" t="s">
        <v>63</v>
      </c>
    </row>
  </sheetData>
  <autoFilter ref="A1:G46" xr:uid="{00000000-0009-0000-0000-000004000000}"/>
  <phoneticPr fontId="3" type="noConversion"/>
  <conditionalFormatting sqref="A2:A200">
    <cfRule type="expression" dxfId="12" priority="1">
      <formula>A2="season_token"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F4E79"/>
  </sheetPr>
  <dimension ref="A1:G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7" customWidth="1"/>
    <col min="2" max="2" width="14" customWidth="1"/>
    <col min="3" max="3" width="36" customWidth="1"/>
    <col min="4" max="6" width="14" customWidth="1"/>
    <col min="7" max="7" width="38" customWidth="1"/>
  </cols>
  <sheetData>
    <row r="1" spans="1:7" ht="21.95" customHeight="1">
      <c r="A1" s="1" t="s">
        <v>48</v>
      </c>
      <c r="B1" s="1" t="s">
        <v>49</v>
      </c>
      <c r="C1" s="1" t="s">
        <v>249</v>
      </c>
      <c r="D1" s="1" t="s">
        <v>250</v>
      </c>
      <c r="E1" s="1" t="s">
        <v>251</v>
      </c>
      <c r="F1" s="1" t="s">
        <v>115</v>
      </c>
      <c r="G1" s="1" t="s">
        <v>252</v>
      </c>
    </row>
    <row r="2" spans="1:7" ht="16.5">
      <c r="A2" s="2" t="s">
        <v>253</v>
      </c>
      <c r="B2" s="2" t="s">
        <v>254</v>
      </c>
      <c r="C2" s="2" t="s">
        <v>255</v>
      </c>
      <c r="D2" s="2" t="s">
        <v>256</v>
      </c>
      <c r="E2" s="2" t="s">
        <v>257</v>
      </c>
      <c r="F2" s="2" t="b">
        <v>1</v>
      </c>
      <c r="G2" s="2" t="str">
        <f>IF(OR(D2="",E2=""),"缺口","闭环")</f>
        <v>闭环</v>
      </c>
    </row>
    <row r="3" spans="1:7" ht="16.5">
      <c r="A3" s="2" t="s">
        <v>258</v>
      </c>
      <c r="B3" s="2" t="s">
        <v>259</v>
      </c>
      <c r="C3" s="2" t="s">
        <v>260</v>
      </c>
      <c r="D3" s="2" t="s">
        <v>261</v>
      </c>
      <c r="E3" s="2" t="s">
        <v>262</v>
      </c>
      <c r="F3" s="2" t="b">
        <v>1</v>
      </c>
      <c r="G3" s="2" t="str">
        <f>IF(OR(D3="",E3=""),"缺口","闭环")</f>
        <v>闭环</v>
      </c>
    </row>
    <row r="4" spans="1:7" ht="16.5">
      <c r="A4" s="2" t="s">
        <v>263</v>
      </c>
      <c r="B4" s="2" t="s">
        <v>264</v>
      </c>
      <c r="C4" s="2" t="s">
        <v>265</v>
      </c>
      <c r="D4" s="2" t="s">
        <v>34</v>
      </c>
      <c r="E4" s="2" t="s">
        <v>266</v>
      </c>
      <c r="F4" s="2" t="b">
        <v>1</v>
      </c>
      <c r="G4" s="2" t="str">
        <f>IF(OR(D4="",E4=""),"缺口","闭环")</f>
        <v>闭环</v>
      </c>
    </row>
  </sheetData>
  <autoFilter ref="A1:G4" xr:uid="{00000000-0009-0000-0000-000005000000}"/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E79"/>
  </sheetPr>
  <dimension ref="A1:F19"/>
  <sheetViews>
    <sheetView workbookViewId="0">
      <pane ySplit="1" topLeftCell="A2" activePane="bottomLeft" state="frozen"/>
      <selection pane="bottomLeft"/>
    </sheetView>
  </sheetViews>
  <sheetFormatPr defaultRowHeight="13.5"/>
  <cols>
    <col min="1" max="2" width="14" customWidth="1"/>
    <col min="3" max="3" width="15" customWidth="1"/>
    <col min="4" max="4" width="14" customWidth="1"/>
    <col min="5" max="5" width="16" customWidth="1"/>
    <col min="6" max="6" width="27" customWidth="1"/>
  </cols>
  <sheetData>
    <row r="1" spans="1:6" ht="21.95" customHeight="1">
      <c r="A1" s="1" t="s">
        <v>49</v>
      </c>
      <c r="B1" s="1" t="s">
        <v>267</v>
      </c>
      <c r="C1" s="1" t="s">
        <v>268</v>
      </c>
      <c r="D1" s="1" t="s">
        <v>269</v>
      </c>
      <c r="E1" s="1" t="s">
        <v>270</v>
      </c>
      <c r="F1" s="1" t="s">
        <v>116</v>
      </c>
    </row>
    <row r="2" spans="1:6" ht="16.5">
      <c r="A2" s="2" t="s">
        <v>147</v>
      </c>
      <c r="B2" s="3">
        <v>36</v>
      </c>
      <c r="C2" s="2" t="s">
        <v>271</v>
      </c>
      <c r="D2" s="3">
        <v>-1</v>
      </c>
      <c r="E2" s="2" t="s">
        <v>253</v>
      </c>
      <c r="F2" s="2" t="str">
        <f t="shared" ref="F2:F19" si="0">IF(B2&lt;=0,"异常","ok")</f>
        <v>ok</v>
      </c>
    </row>
    <row r="3" spans="1:6" ht="16.5">
      <c r="A3" s="2" t="s">
        <v>152</v>
      </c>
      <c r="B3" s="3">
        <v>44</v>
      </c>
      <c r="C3" s="2" t="s">
        <v>271</v>
      </c>
      <c r="D3" s="3">
        <v>-1</v>
      </c>
      <c r="E3" s="2" t="s">
        <v>253</v>
      </c>
      <c r="F3" s="2" t="str">
        <f t="shared" si="0"/>
        <v>ok</v>
      </c>
    </row>
    <row r="4" spans="1:6" ht="16.5">
      <c r="A4" s="2" t="s">
        <v>154</v>
      </c>
      <c r="B4" s="3">
        <v>52</v>
      </c>
      <c r="C4" s="2" t="s">
        <v>271</v>
      </c>
      <c r="D4" s="3">
        <v>-1</v>
      </c>
      <c r="E4" s="2" t="s">
        <v>253</v>
      </c>
      <c r="F4" s="2" t="str">
        <f t="shared" si="0"/>
        <v>ok</v>
      </c>
    </row>
    <row r="5" spans="1:6" ht="16.5">
      <c r="A5" s="2" t="s">
        <v>156</v>
      </c>
      <c r="B5" s="3">
        <v>60</v>
      </c>
      <c r="C5" s="2" t="s">
        <v>271</v>
      </c>
      <c r="D5" s="3">
        <v>-1</v>
      </c>
      <c r="E5" s="2" t="s">
        <v>253</v>
      </c>
      <c r="F5" s="2" t="str">
        <f t="shared" si="0"/>
        <v>ok</v>
      </c>
    </row>
    <row r="6" spans="1:6" ht="16.5">
      <c r="A6" s="2" t="s">
        <v>158</v>
      </c>
      <c r="B6" s="3">
        <v>68</v>
      </c>
      <c r="C6" s="2" t="s">
        <v>271</v>
      </c>
      <c r="D6" s="3">
        <v>-1</v>
      </c>
      <c r="E6" s="2" t="s">
        <v>253</v>
      </c>
      <c r="F6" s="2" t="str">
        <f t="shared" si="0"/>
        <v>ok</v>
      </c>
    </row>
    <row r="7" spans="1:6" ht="16.5">
      <c r="A7" s="2" t="s">
        <v>160</v>
      </c>
      <c r="B7" s="3">
        <v>76</v>
      </c>
      <c r="C7" s="2" t="s">
        <v>271</v>
      </c>
      <c r="D7" s="3">
        <v>-1</v>
      </c>
      <c r="E7" s="2" t="s">
        <v>253</v>
      </c>
      <c r="F7" s="2" t="str">
        <f t="shared" si="0"/>
        <v>ok</v>
      </c>
    </row>
    <row r="8" spans="1:6" ht="16.5">
      <c r="A8" s="2" t="s">
        <v>162</v>
      </c>
      <c r="B8" s="3">
        <v>84</v>
      </c>
      <c r="C8" s="2" t="s">
        <v>271</v>
      </c>
      <c r="D8" s="3">
        <v>-1</v>
      </c>
      <c r="E8" s="2" t="s">
        <v>253</v>
      </c>
      <c r="F8" s="2" t="str">
        <f t="shared" si="0"/>
        <v>ok</v>
      </c>
    </row>
    <row r="9" spans="1:6" ht="16.5">
      <c r="A9" s="2" t="s">
        <v>164</v>
      </c>
      <c r="B9" s="3">
        <v>92</v>
      </c>
      <c r="C9" s="2" t="s">
        <v>271</v>
      </c>
      <c r="D9" s="3">
        <v>-1</v>
      </c>
      <c r="E9" s="2" t="s">
        <v>253</v>
      </c>
      <c r="F9" s="2" t="str">
        <f t="shared" si="0"/>
        <v>ok</v>
      </c>
    </row>
    <row r="10" spans="1:6" ht="16.5">
      <c r="A10" s="2" t="s">
        <v>166</v>
      </c>
      <c r="B10" s="3">
        <v>100</v>
      </c>
      <c r="C10" s="2" t="s">
        <v>271</v>
      </c>
      <c r="D10" s="3">
        <v>-1</v>
      </c>
      <c r="E10" s="2" t="s">
        <v>253</v>
      </c>
      <c r="F10" s="2" t="str">
        <f t="shared" si="0"/>
        <v>ok</v>
      </c>
    </row>
    <row r="11" spans="1:6" ht="16.5">
      <c r="A11" s="2" t="s">
        <v>169</v>
      </c>
      <c r="B11" s="3">
        <v>108</v>
      </c>
      <c r="C11" s="2" t="s">
        <v>271</v>
      </c>
      <c r="D11" s="3">
        <v>-1</v>
      </c>
      <c r="E11" s="2" t="s">
        <v>253</v>
      </c>
      <c r="F11" s="2" t="str">
        <f t="shared" si="0"/>
        <v>ok</v>
      </c>
    </row>
    <row r="12" spans="1:6" ht="16.5">
      <c r="A12" s="2" t="s">
        <v>171</v>
      </c>
      <c r="B12" s="3">
        <v>116</v>
      </c>
      <c r="C12" s="2" t="s">
        <v>271</v>
      </c>
      <c r="D12" s="3">
        <v>-1</v>
      </c>
      <c r="E12" s="2" t="s">
        <v>253</v>
      </c>
      <c r="F12" s="2" t="str">
        <f t="shared" si="0"/>
        <v>ok</v>
      </c>
    </row>
    <row r="13" spans="1:6" ht="16.5">
      <c r="A13" s="2" t="s">
        <v>173</v>
      </c>
      <c r="B13" s="3">
        <v>124</v>
      </c>
      <c r="C13" s="2" t="s">
        <v>271</v>
      </c>
      <c r="D13" s="3">
        <v>-1</v>
      </c>
      <c r="E13" s="2" t="s">
        <v>253</v>
      </c>
      <c r="F13" s="2" t="str">
        <f t="shared" si="0"/>
        <v>ok</v>
      </c>
    </row>
    <row r="14" spans="1:6" ht="16.5">
      <c r="A14" s="2" t="s">
        <v>175</v>
      </c>
      <c r="B14" s="3">
        <v>132</v>
      </c>
      <c r="C14" s="2" t="s">
        <v>271</v>
      </c>
      <c r="D14" s="3">
        <v>-1</v>
      </c>
      <c r="E14" s="2" t="s">
        <v>253</v>
      </c>
      <c r="F14" s="2" t="str">
        <f t="shared" si="0"/>
        <v>ok</v>
      </c>
    </row>
    <row r="15" spans="1:6" ht="16.5">
      <c r="A15" s="2" t="s">
        <v>177</v>
      </c>
      <c r="B15" s="3">
        <v>140</v>
      </c>
      <c r="C15" s="2" t="s">
        <v>271</v>
      </c>
      <c r="D15" s="3">
        <v>-1</v>
      </c>
      <c r="E15" s="2" t="s">
        <v>253</v>
      </c>
      <c r="F15" s="2" t="str">
        <f t="shared" si="0"/>
        <v>ok</v>
      </c>
    </row>
    <row r="16" spans="1:6" ht="16.5">
      <c r="A16" s="2" t="s">
        <v>179</v>
      </c>
      <c r="B16" s="3">
        <v>148</v>
      </c>
      <c r="C16" s="2" t="s">
        <v>271</v>
      </c>
      <c r="D16" s="3">
        <v>-1</v>
      </c>
      <c r="E16" s="2" t="s">
        <v>253</v>
      </c>
      <c r="F16" s="2" t="str">
        <f t="shared" si="0"/>
        <v>ok</v>
      </c>
    </row>
    <row r="17" spans="1:6" ht="16.5">
      <c r="A17" s="2" t="s">
        <v>183</v>
      </c>
      <c r="B17" s="3">
        <v>156</v>
      </c>
      <c r="C17" s="2" t="s">
        <v>271</v>
      </c>
      <c r="D17" s="3">
        <v>-1</v>
      </c>
      <c r="E17" s="2" t="s">
        <v>253</v>
      </c>
      <c r="F17" s="2" t="str">
        <f t="shared" si="0"/>
        <v>ok</v>
      </c>
    </row>
    <row r="18" spans="1:6" ht="16.5">
      <c r="A18" s="2" t="s">
        <v>185</v>
      </c>
      <c r="B18" s="3">
        <v>164</v>
      </c>
      <c r="C18" s="2" t="s">
        <v>271</v>
      </c>
      <c r="D18" s="3">
        <v>-1</v>
      </c>
      <c r="E18" s="2" t="s">
        <v>253</v>
      </c>
      <c r="F18" s="2" t="str">
        <f t="shared" si="0"/>
        <v>ok</v>
      </c>
    </row>
    <row r="19" spans="1:6" ht="16.5">
      <c r="A19" s="2" t="s">
        <v>187</v>
      </c>
      <c r="B19" s="3">
        <v>172</v>
      </c>
      <c r="C19" s="2" t="s">
        <v>271</v>
      </c>
      <c r="D19" s="3">
        <v>-1</v>
      </c>
      <c r="E19" s="2" t="s">
        <v>253</v>
      </c>
      <c r="F19" s="2" t="str">
        <f t="shared" si="0"/>
        <v>ok</v>
      </c>
    </row>
  </sheetData>
  <autoFilter ref="A1:F19" xr:uid="{00000000-0009-0000-0000-000006000000}"/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F4E79"/>
  </sheetPr>
  <dimension ref="A1:I12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32" customWidth="1"/>
    <col min="2" max="2" width="14" customWidth="1"/>
    <col min="3" max="3" width="20" customWidth="1"/>
    <col min="4" max="5" width="14" customWidth="1"/>
    <col min="6" max="6" width="17" customWidth="1"/>
    <col min="7" max="8" width="14" customWidth="1"/>
    <col min="9" max="9" width="29" customWidth="1"/>
  </cols>
  <sheetData>
    <row r="1" spans="1:9" ht="21.95" customHeight="1">
      <c r="A1" s="1" t="s">
        <v>48</v>
      </c>
      <c r="B1" s="1" t="s">
        <v>49</v>
      </c>
      <c r="C1" s="1" t="s">
        <v>272</v>
      </c>
      <c r="D1" s="1" t="s">
        <v>273</v>
      </c>
      <c r="E1" s="1" t="s">
        <v>267</v>
      </c>
      <c r="F1" s="1" t="s">
        <v>270</v>
      </c>
      <c r="G1" s="1" t="s">
        <v>274</v>
      </c>
      <c r="H1" s="1" t="s">
        <v>275</v>
      </c>
      <c r="I1" s="1" t="s">
        <v>116</v>
      </c>
    </row>
    <row r="2" spans="1:9" ht="16.5">
      <c r="A2" s="2" t="s">
        <v>276</v>
      </c>
      <c r="B2" s="2" t="s">
        <v>147</v>
      </c>
      <c r="C2" s="2" t="s">
        <v>146</v>
      </c>
      <c r="D2" s="2" t="s">
        <v>277</v>
      </c>
      <c r="E2" s="3">
        <v>8</v>
      </c>
      <c r="F2" s="2" t="s">
        <v>258</v>
      </c>
      <c r="G2" s="2" t="s">
        <v>278</v>
      </c>
      <c r="H2" s="3">
        <v>3</v>
      </c>
      <c r="I2" s="2" t="str">
        <f t="shared" ref="I2:I12" si="0">IF(F2="","缺货币","ok")</f>
        <v>ok</v>
      </c>
    </row>
    <row r="3" spans="1:9" ht="16.5">
      <c r="A3" s="2" t="s">
        <v>279</v>
      </c>
      <c r="B3" s="2" t="s">
        <v>158</v>
      </c>
      <c r="C3" s="2" t="s">
        <v>157</v>
      </c>
      <c r="D3" s="2" t="s">
        <v>277</v>
      </c>
      <c r="E3" s="3">
        <v>20</v>
      </c>
      <c r="F3" s="2" t="s">
        <v>258</v>
      </c>
      <c r="G3" s="2" t="s">
        <v>278</v>
      </c>
      <c r="H3" s="3">
        <v>4</v>
      </c>
      <c r="I3" s="2" t="str">
        <f t="shared" si="0"/>
        <v>ok</v>
      </c>
    </row>
    <row r="4" spans="1:9" ht="16.5">
      <c r="A4" s="2" t="s">
        <v>280</v>
      </c>
      <c r="B4" s="2" t="s">
        <v>212</v>
      </c>
      <c r="C4" s="2" t="s">
        <v>211</v>
      </c>
      <c r="D4" s="2" t="s">
        <v>277</v>
      </c>
      <c r="E4" s="3">
        <v>32</v>
      </c>
      <c r="F4" s="2" t="s">
        <v>258</v>
      </c>
      <c r="G4" s="2" t="s">
        <v>281</v>
      </c>
      <c r="H4" s="3">
        <v>5</v>
      </c>
      <c r="I4" s="2" t="str">
        <f t="shared" si="0"/>
        <v>ok</v>
      </c>
    </row>
    <row r="5" spans="1:9" ht="16.5">
      <c r="A5" s="2" t="s">
        <v>282</v>
      </c>
      <c r="B5" s="2" t="s">
        <v>222</v>
      </c>
      <c r="C5" s="2" t="s">
        <v>221</v>
      </c>
      <c r="D5" s="2" t="s">
        <v>277</v>
      </c>
      <c r="E5" s="3">
        <v>44</v>
      </c>
      <c r="F5" s="2" t="s">
        <v>258</v>
      </c>
      <c r="G5" s="2" t="s">
        <v>281</v>
      </c>
      <c r="H5" s="3">
        <v>6</v>
      </c>
      <c r="I5" s="2" t="str">
        <f t="shared" si="0"/>
        <v>ok</v>
      </c>
    </row>
    <row r="6" spans="1:9" ht="16.5">
      <c r="A6" s="2" t="s">
        <v>283</v>
      </c>
      <c r="B6" s="2" t="s">
        <v>214</v>
      </c>
      <c r="C6" s="2" t="s">
        <v>213</v>
      </c>
      <c r="D6" s="2" t="s">
        <v>277</v>
      </c>
      <c r="E6" s="3">
        <v>56</v>
      </c>
      <c r="F6" s="2" t="s">
        <v>258</v>
      </c>
      <c r="G6" s="2" t="s">
        <v>284</v>
      </c>
      <c r="H6" s="3">
        <v>7</v>
      </c>
      <c r="I6" s="2" t="str">
        <f t="shared" si="0"/>
        <v>ok</v>
      </c>
    </row>
    <row r="7" spans="1:9" ht="16.5">
      <c r="A7" s="2" t="s">
        <v>285</v>
      </c>
      <c r="B7" s="2" t="s">
        <v>220</v>
      </c>
      <c r="C7" s="2" t="s">
        <v>219</v>
      </c>
      <c r="D7" s="2" t="s">
        <v>277</v>
      </c>
      <c r="E7" s="3">
        <v>68</v>
      </c>
      <c r="F7" s="2" t="s">
        <v>258</v>
      </c>
      <c r="G7" s="2" t="s">
        <v>284</v>
      </c>
      <c r="H7" s="3">
        <v>8</v>
      </c>
      <c r="I7" s="2" t="str">
        <f t="shared" si="0"/>
        <v>ok</v>
      </c>
    </row>
    <row r="8" spans="1:9" ht="16.5">
      <c r="A8" s="2" t="s">
        <v>286</v>
      </c>
      <c r="B8" s="2" t="s">
        <v>147</v>
      </c>
      <c r="C8" s="2" t="s">
        <v>146</v>
      </c>
      <c r="D8" s="2" t="s">
        <v>277</v>
      </c>
      <c r="E8" s="3">
        <v>4</v>
      </c>
      <c r="F8" s="2" t="s">
        <v>263</v>
      </c>
      <c r="G8" s="2" t="s">
        <v>287</v>
      </c>
      <c r="H8" s="3">
        <v>20</v>
      </c>
      <c r="I8" s="2" t="str">
        <f t="shared" si="0"/>
        <v>ok</v>
      </c>
    </row>
    <row r="9" spans="1:9" ht="16.5">
      <c r="A9" s="2" t="s">
        <v>288</v>
      </c>
      <c r="B9" s="2" t="s">
        <v>158</v>
      </c>
      <c r="C9" s="2" t="s">
        <v>157</v>
      </c>
      <c r="D9" s="2" t="s">
        <v>277</v>
      </c>
      <c r="E9" s="3">
        <v>6</v>
      </c>
      <c r="F9" s="2" t="s">
        <v>263</v>
      </c>
      <c r="G9" s="2" t="s">
        <v>287</v>
      </c>
      <c r="H9" s="3">
        <v>15</v>
      </c>
      <c r="I9" s="2" t="str">
        <f t="shared" si="0"/>
        <v>ok</v>
      </c>
    </row>
    <row r="10" spans="1:9" ht="16.5">
      <c r="A10" s="2" t="s">
        <v>289</v>
      </c>
      <c r="B10" s="2" t="s">
        <v>222</v>
      </c>
      <c r="C10" s="2" t="s">
        <v>221</v>
      </c>
      <c r="D10" s="2" t="s">
        <v>277</v>
      </c>
      <c r="E10" s="3">
        <v>30</v>
      </c>
      <c r="F10" s="2" t="s">
        <v>263</v>
      </c>
      <c r="G10" s="2" t="s">
        <v>287</v>
      </c>
      <c r="H10" s="3">
        <v>3</v>
      </c>
      <c r="I10" s="2" t="str">
        <f t="shared" si="0"/>
        <v>ok</v>
      </c>
    </row>
    <row r="11" spans="1:9" ht="16.5">
      <c r="A11" s="2" t="s">
        <v>290</v>
      </c>
      <c r="B11" s="2" t="s">
        <v>248</v>
      </c>
      <c r="C11" s="2" t="s">
        <v>247</v>
      </c>
      <c r="D11" s="2" t="s">
        <v>277</v>
      </c>
      <c r="E11" s="3">
        <v>45</v>
      </c>
      <c r="F11" s="2" t="s">
        <v>263</v>
      </c>
      <c r="G11" s="2" t="s">
        <v>287</v>
      </c>
      <c r="H11" s="3">
        <v>1</v>
      </c>
      <c r="I11" s="2" t="str">
        <f t="shared" si="0"/>
        <v>ok</v>
      </c>
    </row>
    <row r="12" spans="1:9" ht="16.5">
      <c r="A12" s="2" t="s">
        <v>291</v>
      </c>
      <c r="B12" s="2" t="s">
        <v>234</v>
      </c>
      <c r="C12" s="2" t="s">
        <v>233</v>
      </c>
      <c r="D12" s="2" t="s">
        <v>277</v>
      </c>
      <c r="E12" s="3">
        <v>60</v>
      </c>
      <c r="F12" s="2" t="s">
        <v>263</v>
      </c>
      <c r="G12" s="2" t="s">
        <v>287</v>
      </c>
      <c r="H12" s="3">
        <v>1</v>
      </c>
      <c r="I12" s="2" t="str">
        <f t="shared" si="0"/>
        <v>ok</v>
      </c>
    </row>
  </sheetData>
  <autoFilter ref="A1:I12" xr:uid="{00000000-0009-0000-0000-000007000000}"/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4E79"/>
  </sheetPr>
  <dimension ref="A1:F13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1" customWidth="1"/>
    <col min="2" max="2" width="14" customWidth="1"/>
    <col min="3" max="3" width="24" customWidth="1"/>
    <col min="4" max="6" width="14" customWidth="1"/>
  </cols>
  <sheetData>
    <row r="1" spans="1:6" ht="21.95" customHeight="1">
      <c r="A1" s="1" t="s">
        <v>292</v>
      </c>
      <c r="B1" s="1" t="s">
        <v>293</v>
      </c>
      <c r="C1" s="1" t="s">
        <v>294</v>
      </c>
      <c r="D1" s="1" t="s">
        <v>295</v>
      </c>
      <c r="E1" s="1" t="s">
        <v>138</v>
      </c>
      <c r="F1" s="1" t="s">
        <v>296</v>
      </c>
    </row>
    <row r="2" spans="1:6" ht="16.5">
      <c r="A2" s="2" t="s">
        <v>297</v>
      </c>
      <c r="B2" s="2" t="s">
        <v>298</v>
      </c>
      <c r="C2" s="2" t="s">
        <v>299</v>
      </c>
      <c r="D2" s="2" t="s">
        <v>300</v>
      </c>
      <c r="E2" s="3">
        <v>1</v>
      </c>
      <c r="F2" s="3">
        <v>2</v>
      </c>
    </row>
    <row r="3" spans="1:6" ht="16.5">
      <c r="A3" s="2" t="s">
        <v>297</v>
      </c>
      <c r="B3" s="2" t="s">
        <v>298</v>
      </c>
      <c r="C3" s="2" t="s">
        <v>301</v>
      </c>
      <c r="D3" s="2" t="s">
        <v>302</v>
      </c>
      <c r="E3" s="3">
        <v>3</v>
      </c>
      <c r="F3" s="3">
        <v>3</v>
      </c>
    </row>
    <row r="4" spans="1:6" ht="16.5">
      <c r="A4" s="2" t="s">
        <v>297</v>
      </c>
      <c r="B4" s="2" t="s">
        <v>298</v>
      </c>
      <c r="C4" s="2" t="s">
        <v>303</v>
      </c>
      <c r="D4" s="2" t="s">
        <v>304</v>
      </c>
      <c r="E4" s="3">
        <v>5</v>
      </c>
      <c r="F4" s="3">
        <v>4</v>
      </c>
    </row>
    <row r="5" spans="1:6" ht="16.5">
      <c r="A5" s="2" t="s">
        <v>297</v>
      </c>
      <c r="B5" s="2" t="s">
        <v>298</v>
      </c>
      <c r="C5" s="2" t="s">
        <v>305</v>
      </c>
      <c r="D5" s="2" t="s">
        <v>306</v>
      </c>
      <c r="E5" s="3">
        <v>7</v>
      </c>
      <c r="F5" s="3">
        <v>5</v>
      </c>
    </row>
    <row r="6" spans="1:6" ht="16.5">
      <c r="A6" s="2" t="s">
        <v>307</v>
      </c>
      <c r="B6" s="2" t="s">
        <v>308</v>
      </c>
      <c r="C6" s="2" t="s">
        <v>309</v>
      </c>
      <c r="D6" s="2" t="s">
        <v>310</v>
      </c>
      <c r="E6" s="3">
        <v>7</v>
      </c>
      <c r="F6" s="3">
        <v>3</v>
      </c>
    </row>
    <row r="7" spans="1:6" ht="16.5">
      <c r="A7" s="2" t="s">
        <v>307</v>
      </c>
      <c r="B7" s="2" t="s">
        <v>308</v>
      </c>
      <c r="C7" s="2" t="s">
        <v>311</v>
      </c>
      <c r="D7" s="2" t="s">
        <v>312</v>
      </c>
      <c r="E7" s="3">
        <v>9</v>
      </c>
      <c r="F7" s="3">
        <v>4</v>
      </c>
    </row>
    <row r="8" spans="1:6" ht="16.5">
      <c r="A8" s="2" t="s">
        <v>307</v>
      </c>
      <c r="B8" s="2" t="s">
        <v>308</v>
      </c>
      <c r="C8" s="2" t="s">
        <v>313</v>
      </c>
      <c r="D8" s="2" t="s">
        <v>314</v>
      </c>
      <c r="E8" s="3">
        <v>11</v>
      </c>
      <c r="F8" s="3">
        <v>5</v>
      </c>
    </row>
    <row r="9" spans="1:6" ht="16.5">
      <c r="A9" s="2" t="s">
        <v>307</v>
      </c>
      <c r="B9" s="2" t="s">
        <v>308</v>
      </c>
      <c r="C9" s="2" t="s">
        <v>315</v>
      </c>
      <c r="D9" s="2" t="s">
        <v>316</v>
      </c>
      <c r="E9" s="3">
        <v>13</v>
      </c>
      <c r="F9" s="3">
        <v>6</v>
      </c>
    </row>
    <row r="10" spans="1:6" ht="16.5">
      <c r="A10" s="2" t="s">
        <v>317</v>
      </c>
      <c r="B10" s="2" t="s">
        <v>318</v>
      </c>
      <c r="C10" s="2" t="s">
        <v>319</v>
      </c>
      <c r="D10" s="2" t="s">
        <v>320</v>
      </c>
      <c r="E10" s="3">
        <v>15</v>
      </c>
      <c r="F10" s="3">
        <v>4</v>
      </c>
    </row>
    <row r="11" spans="1:6" ht="16.5">
      <c r="A11" s="2" t="s">
        <v>317</v>
      </c>
      <c r="B11" s="2" t="s">
        <v>318</v>
      </c>
      <c r="C11" s="2" t="s">
        <v>321</v>
      </c>
      <c r="D11" s="2" t="s">
        <v>322</v>
      </c>
      <c r="E11" s="3">
        <v>17</v>
      </c>
      <c r="F11" s="3">
        <v>5</v>
      </c>
    </row>
    <row r="12" spans="1:6" ht="16.5">
      <c r="A12" s="2" t="s">
        <v>317</v>
      </c>
      <c r="B12" s="2" t="s">
        <v>318</v>
      </c>
      <c r="C12" s="2" t="s">
        <v>323</v>
      </c>
      <c r="D12" s="2" t="s">
        <v>324</v>
      </c>
      <c r="E12" s="3">
        <v>19</v>
      </c>
      <c r="F12" s="3">
        <v>6</v>
      </c>
    </row>
    <row r="13" spans="1:6" ht="16.5">
      <c r="A13" s="2" t="s">
        <v>317</v>
      </c>
      <c r="B13" s="2" t="s">
        <v>318</v>
      </c>
      <c r="C13" s="2" t="s">
        <v>325</v>
      </c>
      <c r="D13" s="2" t="s">
        <v>326</v>
      </c>
      <c r="E13" s="3">
        <v>21</v>
      </c>
      <c r="F13" s="3">
        <v>7</v>
      </c>
    </row>
  </sheetData>
  <autoFilter ref="A1:F13" xr:uid="{00000000-0009-0000-0000-000008000000}"/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9"/>
  </sheetPr>
  <dimension ref="A1:G3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7" width="14" customWidth="1"/>
  </cols>
  <sheetData>
    <row r="1" spans="1:7" ht="21.95" customHeight="1">
      <c r="A1" s="1" t="s">
        <v>48</v>
      </c>
      <c r="B1" s="1" t="s">
        <v>49</v>
      </c>
      <c r="C1" s="1" t="s">
        <v>138</v>
      </c>
      <c r="D1" s="1" t="s">
        <v>327</v>
      </c>
      <c r="E1" s="1" t="s">
        <v>328</v>
      </c>
      <c r="F1" s="1" t="s">
        <v>329</v>
      </c>
      <c r="G1" s="1" t="s">
        <v>330</v>
      </c>
    </row>
    <row r="2" spans="1:7" ht="16.5">
      <c r="A2" s="2" t="s">
        <v>331</v>
      </c>
      <c r="B2" s="2" t="s">
        <v>332</v>
      </c>
      <c r="C2" s="3">
        <v>1</v>
      </c>
      <c r="D2" s="3">
        <v>48</v>
      </c>
      <c r="E2" s="3">
        <v>10</v>
      </c>
      <c r="F2" s="3">
        <v>5</v>
      </c>
      <c r="G2" s="2" t="b">
        <v>0</v>
      </c>
    </row>
    <row r="3" spans="1:7" ht="16.5">
      <c r="A3" s="2" t="s">
        <v>333</v>
      </c>
      <c r="B3" s="2" t="s">
        <v>334</v>
      </c>
      <c r="C3" s="3">
        <v>2</v>
      </c>
      <c r="D3" s="3">
        <v>61</v>
      </c>
      <c r="E3" s="3">
        <v>13</v>
      </c>
      <c r="F3" s="3">
        <v>7</v>
      </c>
      <c r="G3" s="2" t="b">
        <v>0</v>
      </c>
    </row>
    <row r="4" spans="1:7" ht="16.5">
      <c r="A4" s="2" t="s">
        <v>335</v>
      </c>
      <c r="B4" s="2" t="s">
        <v>336</v>
      </c>
      <c r="C4" s="3">
        <v>3</v>
      </c>
      <c r="D4" s="3">
        <v>74</v>
      </c>
      <c r="E4" s="3">
        <v>16</v>
      </c>
      <c r="F4" s="3">
        <v>9</v>
      </c>
      <c r="G4" s="2" t="b">
        <v>0</v>
      </c>
    </row>
    <row r="5" spans="1:7" ht="16.5">
      <c r="A5" s="2" t="s">
        <v>337</v>
      </c>
      <c r="B5" s="2" t="s">
        <v>338</v>
      </c>
      <c r="C5" s="3">
        <v>4</v>
      </c>
      <c r="D5" s="3">
        <v>87</v>
      </c>
      <c r="E5" s="3">
        <v>19</v>
      </c>
      <c r="F5" s="3">
        <v>11</v>
      </c>
      <c r="G5" s="2" t="b">
        <v>0</v>
      </c>
    </row>
    <row r="6" spans="1:7" ht="16.5">
      <c r="A6" s="2" t="s">
        <v>339</v>
      </c>
      <c r="B6" s="2" t="s">
        <v>340</v>
      </c>
      <c r="C6" s="3">
        <v>5</v>
      </c>
      <c r="D6" s="3">
        <v>100</v>
      </c>
      <c r="E6" s="3">
        <v>22</v>
      </c>
      <c r="F6" s="3">
        <v>13</v>
      </c>
      <c r="G6" s="2" t="b">
        <v>0</v>
      </c>
    </row>
    <row r="7" spans="1:7" ht="16.5">
      <c r="A7" s="2" t="s">
        <v>341</v>
      </c>
      <c r="B7" s="2" t="s">
        <v>342</v>
      </c>
      <c r="C7" s="3">
        <v>6</v>
      </c>
      <c r="D7" s="3">
        <v>113</v>
      </c>
      <c r="E7" s="3">
        <v>25</v>
      </c>
      <c r="F7" s="3">
        <v>15</v>
      </c>
      <c r="G7" s="2" t="b">
        <v>0</v>
      </c>
    </row>
    <row r="8" spans="1:7" ht="16.5">
      <c r="A8" s="2" t="s">
        <v>343</v>
      </c>
      <c r="B8" s="2" t="s">
        <v>344</v>
      </c>
      <c r="C8" s="3">
        <v>7</v>
      </c>
      <c r="D8" s="3">
        <v>126</v>
      </c>
      <c r="E8" s="3">
        <v>28</v>
      </c>
      <c r="F8" s="3">
        <v>17</v>
      </c>
      <c r="G8" s="2" t="b">
        <v>0</v>
      </c>
    </row>
    <row r="9" spans="1:7" ht="16.5">
      <c r="A9" s="2" t="s">
        <v>345</v>
      </c>
      <c r="B9" s="2" t="s">
        <v>346</v>
      </c>
      <c r="C9" s="3">
        <v>8</v>
      </c>
      <c r="D9" s="3">
        <v>139</v>
      </c>
      <c r="E9" s="3">
        <v>31</v>
      </c>
      <c r="F9" s="3">
        <v>19</v>
      </c>
      <c r="G9" s="2" t="b">
        <v>0</v>
      </c>
    </row>
    <row r="10" spans="1:7" ht="16.5">
      <c r="A10" s="2" t="s">
        <v>347</v>
      </c>
      <c r="B10" s="2" t="s">
        <v>348</v>
      </c>
      <c r="C10" s="3">
        <v>9</v>
      </c>
      <c r="D10" s="3">
        <v>152</v>
      </c>
      <c r="E10" s="3">
        <v>34</v>
      </c>
      <c r="F10" s="3">
        <v>21</v>
      </c>
      <c r="G10" s="2" t="b">
        <v>0</v>
      </c>
    </row>
    <row r="11" spans="1:7" ht="16.5">
      <c r="A11" s="2" t="s">
        <v>349</v>
      </c>
      <c r="B11" s="2" t="s">
        <v>350</v>
      </c>
      <c r="C11" s="3">
        <v>10</v>
      </c>
      <c r="D11" s="3">
        <v>165</v>
      </c>
      <c r="E11" s="3">
        <v>37</v>
      </c>
      <c r="F11" s="3">
        <v>23</v>
      </c>
      <c r="G11" s="2" t="b">
        <v>0</v>
      </c>
    </row>
    <row r="12" spans="1:7" ht="16.5">
      <c r="A12" s="2" t="s">
        <v>351</v>
      </c>
      <c r="B12" s="2" t="s">
        <v>352</v>
      </c>
      <c r="C12" s="3">
        <v>11</v>
      </c>
      <c r="D12" s="3">
        <v>178</v>
      </c>
      <c r="E12" s="3">
        <v>40</v>
      </c>
      <c r="F12" s="3">
        <v>25</v>
      </c>
      <c r="G12" s="2" t="b">
        <v>0</v>
      </c>
    </row>
    <row r="13" spans="1:7" ht="16.5">
      <c r="A13" s="2" t="s">
        <v>353</v>
      </c>
      <c r="B13" s="2" t="s">
        <v>354</v>
      </c>
      <c r="C13" s="3">
        <v>12</v>
      </c>
      <c r="D13" s="3">
        <v>191</v>
      </c>
      <c r="E13" s="3">
        <v>43</v>
      </c>
      <c r="F13" s="3">
        <v>27</v>
      </c>
      <c r="G13" s="2" t="b">
        <v>0</v>
      </c>
    </row>
    <row r="14" spans="1:7" ht="16.5">
      <c r="A14" s="2" t="s">
        <v>355</v>
      </c>
      <c r="B14" s="2" t="s">
        <v>356</v>
      </c>
      <c r="C14" s="3">
        <v>13</v>
      </c>
      <c r="D14" s="3">
        <v>204</v>
      </c>
      <c r="E14" s="3">
        <v>46</v>
      </c>
      <c r="F14" s="3">
        <v>29</v>
      </c>
      <c r="G14" s="2" t="b">
        <v>0</v>
      </c>
    </row>
    <row r="15" spans="1:7" ht="16.5">
      <c r="A15" s="2" t="s">
        <v>357</v>
      </c>
      <c r="B15" s="2" t="s">
        <v>358</v>
      </c>
      <c r="C15" s="3">
        <v>14</v>
      </c>
      <c r="D15" s="3">
        <v>217</v>
      </c>
      <c r="E15" s="3">
        <v>49</v>
      </c>
      <c r="F15" s="3">
        <v>31</v>
      </c>
      <c r="G15" s="2" t="b">
        <v>0</v>
      </c>
    </row>
    <row r="16" spans="1:7" ht="16.5">
      <c r="A16" s="2" t="s">
        <v>359</v>
      </c>
      <c r="B16" s="2" t="s">
        <v>360</v>
      </c>
      <c r="C16" s="3">
        <v>15</v>
      </c>
      <c r="D16" s="3">
        <v>230</v>
      </c>
      <c r="E16" s="3">
        <v>52</v>
      </c>
      <c r="F16" s="3">
        <v>33</v>
      </c>
      <c r="G16" s="2" t="b">
        <v>0</v>
      </c>
    </row>
    <row r="17" spans="1:7" ht="16.5">
      <c r="A17" s="2" t="s">
        <v>361</v>
      </c>
      <c r="B17" s="2" t="s">
        <v>362</v>
      </c>
      <c r="C17" s="3">
        <v>16</v>
      </c>
      <c r="D17" s="3">
        <v>243</v>
      </c>
      <c r="E17" s="3">
        <v>55</v>
      </c>
      <c r="F17" s="3">
        <v>35</v>
      </c>
      <c r="G17" s="2" t="b">
        <v>0</v>
      </c>
    </row>
    <row r="18" spans="1:7" ht="16.5">
      <c r="A18" s="2" t="s">
        <v>363</v>
      </c>
      <c r="B18" s="2" t="s">
        <v>364</v>
      </c>
      <c r="C18" s="3">
        <v>17</v>
      </c>
      <c r="D18" s="3">
        <v>256</v>
      </c>
      <c r="E18" s="3">
        <v>58</v>
      </c>
      <c r="F18" s="3">
        <v>37</v>
      </c>
      <c r="G18" s="2" t="b">
        <v>0</v>
      </c>
    </row>
    <row r="19" spans="1:7" ht="16.5">
      <c r="A19" s="2" t="s">
        <v>365</v>
      </c>
      <c r="B19" s="2" t="s">
        <v>366</v>
      </c>
      <c r="C19" s="3">
        <v>18</v>
      </c>
      <c r="D19" s="3">
        <v>269</v>
      </c>
      <c r="E19" s="3">
        <v>61</v>
      </c>
      <c r="F19" s="3">
        <v>39</v>
      </c>
      <c r="G19" s="2" t="b">
        <v>0</v>
      </c>
    </row>
    <row r="20" spans="1:7" ht="16.5">
      <c r="A20" s="2" t="s">
        <v>367</v>
      </c>
      <c r="B20" s="2" t="s">
        <v>368</v>
      </c>
      <c r="C20" s="3">
        <v>19</v>
      </c>
      <c r="D20" s="3">
        <v>282</v>
      </c>
      <c r="E20" s="3">
        <v>64</v>
      </c>
      <c r="F20" s="3">
        <v>41</v>
      </c>
      <c r="G20" s="2" t="b">
        <v>0</v>
      </c>
    </row>
    <row r="21" spans="1:7" ht="16.5">
      <c r="A21" s="2" t="s">
        <v>369</v>
      </c>
      <c r="B21" s="2" t="s">
        <v>370</v>
      </c>
      <c r="C21" s="3">
        <v>20</v>
      </c>
      <c r="D21" s="3">
        <v>295</v>
      </c>
      <c r="E21" s="3">
        <v>67</v>
      </c>
      <c r="F21" s="3">
        <v>43</v>
      </c>
      <c r="G21" s="2" t="b">
        <v>0</v>
      </c>
    </row>
    <row r="22" spans="1:7" ht="16.5">
      <c r="A22" s="2" t="s">
        <v>371</v>
      </c>
      <c r="B22" s="2" t="s">
        <v>372</v>
      </c>
      <c r="C22" s="3">
        <v>21</v>
      </c>
      <c r="D22" s="3">
        <v>308</v>
      </c>
      <c r="E22" s="3">
        <v>70</v>
      </c>
      <c r="F22" s="3">
        <v>45</v>
      </c>
      <c r="G22" s="2" t="b">
        <v>0</v>
      </c>
    </row>
    <row r="23" spans="1:7" ht="16.5">
      <c r="A23" s="2" t="s">
        <v>373</v>
      </c>
      <c r="B23" s="2" t="s">
        <v>374</v>
      </c>
      <c r="C23" s="3">
        <v>22</v>
      </c>
      <c r="D23" s="3">
        <v>321</v>
      </c>
      <c r="E23" s="3">
        <v>73</v>
      </c>
      <c r="F23" s="3">
        <v>47</v>
      </c>
      <c r="G23" s="2" t="b">
        <v>0</v>
      </c>
    </row>
    <row r="24" spans="1:7" ht="16.5">
      <c r="A24" s="2" t="s">
        <v>375</v>
      </c>
      <c r="B24" s="2" t="s">
        <v>376</v>
      </c>
      <c r="C24" s="3">
        <v>23</v>
      </c>
      <c r="D24" s="3">
        <v>334</v>
      </c>
      <c r="E24" s="3">
        <v>76</v>
      </c>
      <c r="F24" s="3">
        <v>49</v>
      </c>
      <c r="G24" s="2" t="b">
        <v>0</v>
      </c>
    </row>
    <row r="25" spans="1:7" ht="16.5">
      <c r="A25" s="2" t="s">
        <v>377</v>
      </c>
      <c r="B25" s="2" t="s">
        <v>378</v>
      </c>
      <c r="C25" s="3">
        <v>24</v>
      </c>
      <c r="D25" s="3">
        <v>347</v>
      </c>
      <c r="E25" s="3">
        <v>79</v>
      </c>
      <c r="F25" s="3">
        <v>51</v>
      </c>
      <c r="G25" s="2" t="b">
        <v>0</v>
      </c>
    </row>
    <row r="26" spans="1:7" ht="16.5">
      <c r="A26" s="2" t="s">
        <v>379</v>
      </c>
      <c r="B26" s="2" t="s">
        <v>380</v>
      </c>
      <c r="C26" s="3">
        <v>4</v>
      </c>
      <c r="D26" s="3">
        <v>238</v>
      </c>
      <c r="E26" s="3">
        <v>36</v>
      </c>
      <c r="F26" s="3">
        <v>24</v>
      </c>
      <c r="G26" s="2" t="b">
        <v>1</v>
      </c>
    </row>
    <row r="27" spans="1:7" ht="16.5">
      <c r="A27" s="2" t="s">
        <v>381</v>
      </c>
      <c r="B27" s="2" t="s">
        <v>382</v>
      </c>
      <c r="C27" s="3">
        <v>8</v>
      </c>
      <c r="D27" s="3">
        <v>326</v>
      </c>
      <c r="E27" s="3">
        <v>52</v>
      </c>
      <c r="F27" s="3">
        <v>36</v>
      </c>
      <c r="G27" s="2" t="b">
        <v>1</v>
      </c>
    </row>
    <row r="28" spans="1:7" ht="16.5">
      <c r="A28" s="2" t="s">
        <v>383</v>
      </c>
      <c r="B28" s="2" t="s">
        <v>384</v>
      </c>
      <c r="C28" s="3">
        <v>12</v>
      </c>
      <c r="D28" s="3">
        <v>414</v>
      </c>
      <c r="E28" s="3">
        <v>68</v>
      </c>
      <c r="F28" s="3">
        <v>48</v>
      </c>
      <c r="G28" s="2" t="b">
        <v>1</v>
      </c>
    </row>
    <row r="29" spans="1:7" ht="16.5">
      <c r="A29" s="2" t="s">
        <v>385</v>
      </c>
      <c r="B29" s="2" t="s">
        <v>386</v>
      </c>
      <c r="C29" s="3">
        <v>16</v>
      </c>
      <c r="D29" s="3">
        <v>502</v>
      </c>
      <c r="E29" s="3">
        <v>84</v>
      </c>
      <c r="F29" s="3">
        <v>60</v>
      </c>
      <c r="G29" s="2" t="b">
        <v>1</v>
      </c>
    </row>
    <row r="30" spans="1:7" ht="16.5">
      <c r="A30" s="2" t="s">
        <v>387</v>
      </c>
      <c r="B30" s="2" t="s">
        <v>388</v>
      </c>
      <c r="C30" s="3">
        <v>20</v>
      </c>
      <c r="D30" s="3">
        <v>590</v>
      </c>
      <c r="E30" s="3">
        <v>100</v>
      </c>
      <c r="F30" s="3">
        <v>72</v>
      </c>
      <c r="G30" s="2" t="b">
        <v>1</v>
      </c>
    </row>
    <row r="31" spans="1:7" ht="16.5">
      <c r="A31" s="2" t="s">
        <v>389</v>
      </c>
      <c r="B31" s="2" t="s">
        <v>390</v>
      </c>
      <c r="C31" s="3">
        <v>24</v>
      </c>
      <c r="D31" s="3">
        <v>678</v>
      </c>
      <c r="E31" s="3">
        <v>116</v>
      </c>
      <c r="F31" s="3">
        <v>84</v>
      </c>
      <c r="G31" s="2" t="b">
        <v>1</v>
      </c>
    </row>
    <row r="32" spans="1:7" ht="16.5">
      <c r="A32" s="2" t="s">
        <v>391</v>
      </c>
      <c r="B32" s="2" t="s">
        <v>392</v>
      </c>
      <c r="C32" s="3">
        <v>8</v>
      </c>
      <c r="D32" s="3">
        <v>2500</v>
      </c>
      <c r="E32" s="3">
        <v>45</v>
      </c>
      <c r="F32" s="3">
        <v>25</v>
      </c>
      <c r="G32" s="2" t="b">
        <v>1</v>
      </c>
    </row>
    <row r="33" spans="1:7" ht="16.5">
      <c r="A33" s="2" t="s">
        <v>393</v>
      </c>
      <c r="B33" s="2" t="s">
        <v>394</v>
      </c>
      <c r="C33" s="3">
        <v>16</v>
      </c>
      <c r="D33" s="3">
        <v>7500</v>
      </c>
      <c r="E33" s="3">
        <v>85</v>
      </c>
      <c r="F33" s="3">
        <v>53</v>
      </c>
      <c r="G33" s="2" t="b">
        <v>1</v>
      </c>
    </row>
    <row r="34" spans="1:7" ht="16.5">
      <c r="A34" s="2" t="s">
        <v>395</v>
      </c>
      <c r="B34" s="2" t="s">
        <v>396</v>
      </c>
      <c r="C34" s="3">
        <v>25</v>
      </c>
      <c r="D34" s="3">
        <v>12500</v>
      </c>
      <c r="E34" s="3">
        <v>125</v>
      </c>
      <c r="F34" s="3">
        <v>81</v>
      </c>
      <c r="G34" s="2" t="b">
        <v>1</v>
      </c>
    </row>
  </sheetData>
  <autoFilter ref="A1:G34" xr:uid="{00000000-0009-0000-0000-000009000000}"/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9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6" customWidth="1"/>
    <col min="2" max="4" width="14" customWidth="1"/>
    <col min="5" max="5" width="16" customWidth="1"/>
  </cols>
  <sheetData>
    <row r="1" spans="1:5" ht="21.95" customHeight="1">
      <c r="A1" s="1" t="s">
        <v>48</v>
      </c>
      <c r="B1" s="1" t="s">
        <v>49</v>
      </c>
      <c r="C1" s="1" t="s">
        <v>397</v>
      </c>
      <c r="D1" s="1" t="s">
        <v>398</v>
      </c>
      <c r="E1" s="1" t="s">
        <v>399</v>
      </c>
    </row>
    <row r="2" spans="1:5" ht="16.5">
      <c r="A2" s="2" t="s">
        <v>400</v>
      </c>
      <c r="B2" s="2" t="s">
        <v>401</v>
      </c>
      <c r="C2" s="3">
        <v>940</v>
      </c>
      <c r="D2" s="3">
        <v>940</v>
      </c>
      <c r="E2" s="2" t="s">
        <v>402</v>
      </c>
    </row>
    <row r="3" spans="1:5" ht="16.5">
      <c r="A3" s="2" t="s">
        <v>403</v>
      </c>
      <c r="B3" s="2" t="s">
        <v>404</v>
      </c>
      <c r="C3" s="3">
        <v>1030</v>
      </c>
      <c r="D3" s="3">
        <v>980</v>
      </c>
      <c r="E3" s="2" t="s">
        <v>405</v>
      </c>
    </row>
    <row r="4" spans="1:5" ht="16.5">
      <c r="A4" s="2" t="s">
        <v>406</v>
      </c>
      <c r="B4" s="2" t="s">
        <v>407</v>
      </c>
      <c r="C4" s="3">
        <v>1120</v>
      </c>
      <c r="D4" s="3">
        <v>900</v>
      </c>
      <c r="E4" s="2" t="s">
        <v>408</v>
      </c>
    </row>
    <row r="5" spans="1:5" ht="16.5">
      <c r="A5" s="2" t="s">
        <v>409</v>
      </c>
      <c r="B5" s="2" t="s">
        <v>410</v>
      </c>
      <c r="C5" s="3">
        <v>1210</v>
      </c>
      <c r="D5" s="3">
        <v>940</v>
      </c>
      <c r="E5" s="2" t="s">
        <v>411</v>
      </c>
    </row>
    <row r="6" spans="1:5" ht="16.5">
      <c r="A6" s="2" t="s">
        <v>412</v>
      </c>
      <c r="B6" s="2" t="s">
        <v>413</v>
      </c>
      <c r="C6" s="3">
        <v>1300</v>
      </c>
      <c r="D6" s="3">
        <v>980</v>
      </c>
      <c r="E6" s="2"/>
    </row>
    <row r="7" spans="1:5" ht="16.5">
      <c r="A7" s="2" t="s">
        <v>414</v>
      </c>
      <c r="B7" s="2" t="s">
        <v>415</v>
      </c>
      <c r="C7" s="3">
        <v>1390</v>
      </c>
      <c r="D7" s="3">
        <v>900</v>
      </c>
      <c r="E7" s="2" t="s">
        <v>402</v>
      </c>
    </row>
    <row r="8" spans="1:5" ht="16.5">
      <c r="A8" s="2" t="s">
        <v>416</v>
      </c>
      <c r="B8" s="2" t="s">
        <v>417</v>
      </c>
      <c r="C8" s="3">
        <v>850</v>
      </c>
      <c r="D8" s="3">
        <v>940</v>
      </c>
      <c r="E8" s="2" t="s">
        <v>405</v>
      </c>
    </row>
    <row r="9" spans="1:5" ht="16.5">
      <c r="A9" s="2" t="s">
        <v>418</v>
      </c>
      <c r="B9" s="2" t="s">
        <v>419</v>
      </c>
      <c r="C9" s="3">
        <v>940</v>
      </c>
      <c r="D9" s="3">
        <v>980</v>
      </c>
      <c r="E9" s="2" t="s">
        <v>408</v>
      </c>
    </row>
    <row r="10" spans="1:5" ht="16.5">
      <c r="A10" s="2" t="s">
        <v>420</v>
      </c>
      <c r="B10" s="2" t="s">
        <v>421</v>
      </c>
      <c r="C10" s="3">
        <v>1030</v>
      </c>
      <c r="D10" s="3">
        <v>900</v>
      </c>
      <c r="E10" s="2" t="s">
        <v>411</v>
      </c>
    </row>
    <row r="11" spans="1:5" ht="16.5">
      <c r="A11" s="2" t="s">
        <v>422</v>
      </c>
      <c r="B11" s="2" t="s">
        <v>423</v>
      </c>
      <c r="C11" s="3">
        <v>1120</v>
      </c>
      <c r="D11" s="3">
        <v>940</v>
      </c>
      <c r="E11" s="2"/>
    </row>
    <row r="12" spans="1:5" ht="16.5">
      <c r="A12" s="2" t="s">
        <v>424</v>
      </c>
      <c r="B12" s="2" t="s">
        <v>425</v>
      </c>
      <c r="C12" s="3">
        <v>1210</v>
      </c>
      <c r="D12" s="3">
        <v>980</v>
      </c>
      <c r="E12" s="2" t="s">
        <v>402</v>
      </c>
    </row>
    <row r="13" spans="1:5" ht="16.5">
      <c r="A13" s="2" t="s">
        <v>426</v>
      </c>
      <c r="B13" s="2" t="s">
        <v>427</v>
      </c>
      <c r="C13" s="3">
        <v>1300</v>
      </c>
      <c r="D13" s="3">
        <v>900</v>
      </c>
      <c r="E13" s="2" t="s">
        <v>405</v>
      </c>
    </row>
    <row r="14" spans="1:5" ht="16.5">
      <c r="A14" s="2" t="s">
        <v>428</v>
      </c>
      <c r="B14" s="2" t="s">
        <v>429</v>
      </c>
      <c r="C14" s="3">
        <v>1390</v>
      </c>
      <c r="D14" s="3">
        <v>940</v>
      </c>
      <c r="E14" s="2" t="s">
        <v>408</v>
      </c>
    </row>
    <row r="15" spans="1:5" ht="16.5">
      <c r="A15" s="2" t="s">
        <v>430</v>
      </c>
      <c r="B15" s="2" t="s">
        <v>431</v>
      </c>
      <c r="C15" s="3">
        <v>850</v>
      </c>
      <c r="D15" s="3">
        <v>980</v>
      </c>
      <c r="E15" s="2" t="s">
        <v>411</v>
      </c>
    </row>
    <row r="16" spans="1:5" ht="16.5">
      <c r="A16" s="2" t="s">
        <v>432</v>
      </c>
      <c r="B16" s="2" t="s">
        <v>433</v>
      </c>
      <c r="C16" s="3">
        <v>940</v>
      </c>
      <c r="D16" s="3">
        <v>900</v>
      </c>
      <c r="E16" s="2"/>
    </row>
    <row r="17" spans="1:5" ht="16.5">
      <c r="A17" s="2" t="s">
        <v>434</v>
      </c>
      <c r="B17" s="2" t="s">
        <v>435</v>
      </c>
      <c r="C17" s="3">
        <v>1030</v>
      </c>
      <c r="D17" s="3">
        <v>940</v>
      </c>
      <c r="E17" s="2" t="s">
        <v>402</v>
      </c>
    </row>
    <row r="18" spans="1:5" ht="16.5">
      <c r="A18" s="2" t="s">
        <v>436</v>
      </c>
      <c r="B18" s="2" t="s">
        <v>437</v>
      </c>
      <c r="C18" s="3">
        <v>1120</v>
      </c>
      <c r="D18" s="3">
        <v>980</v>
      </c>
      <c r="E18" s="2" t="s">
        <v>405</v>
      </c>
    </row>
    <row r="19" spans="1:5" ht="16.5">
      <c r="A19" s="2" t="s">
        <v>438</v>
      </c>
      <c r="B19" s="2" t="s">
        <v>439</v>
      </c>
      <c r="C19" s="3">
        <v>1210</v>
      </c>
      <c r="D19" s="3">
        <v>900</v>
      </c>
      <c r="E19" s="2" t="s">
        <v>408</v>
      </c>
    </row>
    <row r="20" spans="1:5" ht="16.5">
      <c r="A20" s="2" t="s">
        <v>440</v>
      </c>
      <c r="B20" s="2" t="s">
        <v>441</v>
      </c>
      <c r="C20" s="3">
        <v>1300</v>
      </c>
      <c r="D20" s="3">
        <v>940</v>
      </c>
      <c r="E20" s="2" t="s">
        <v>411</v>
      </c>
    </row>
    <row r="21" spans="1:5" ht="16.5">
      <c r="A21" s="2" t="s">
        <v>442</v>
      </c>
      <c r="B21" s="2" t="s">
        <v>443</v>
      </c>
      <c r="C21" s="3">
        <v>1390</v>
      </c>
      <c r="D21" s="3">
        <v>980</v>
      </c>
      <c r="E21" s="2"/>
    </row>
    <row r="22" spans="1:5" ht="16.5">
      <c r="A22" s="2" t="s">
        <v>444</v>
      </c>
      <c r="B22" s="2" t="s">
        <v>445</v>
      </c>
      <c r="C22" s="3">
        <v>850</v>
      </c>
      <c r="D22" s="3">
        <v>900</v>
      </c>
      <c r="E22" s="2" t="s">
        <v>402</v>
      </c>
    </row>
    <row r="23" spans="1:5" ht="16.5">
      <c r="A23" s="2" t="s">
        <v>446</v>
      </c>
      <c r="B23" s="2" t="s">
        <v>447</v>
      </c>
      <c r="C23" s="3">
        <v>940</v>
      </c>
      <c r="D23" s="3">
        <v>940</v>
      </c>
      <c r="E23" s="2" t="s">
        <v>405</v>
      </c>
    </row>
    <row r="24" spans="1:5" ht="16.5">
      <c r="A24" s="2" t="s">
        <v>448</v>
      </c>
      <c r="B24" s="2" t="s">
        <v>449</v>
      </c>
      <c r="C24" s="3">
        <v>1030</v>
      </c>
      <c r="D24" s="3">
        <v>980</v>
      </c>
      <c r="E24" s="2" t="s">
        <v>408</v>
      </c>
    </row>
    <row r="25" spans="1:5" ht="16.5">
      <c r="A25" s="2" t="s">
        <v>450</v>
      </c>
      <c r="B25" s="2" t="s">
        <v>451</v>
      </c>
      <c r="C25" s="3">
        <v>1120</v>
      </c>
      <c r="D25" s="3">
        <v>900</v>
      </c>
      <c r="E25" s="2" t="s">
        <v>411</v>
      </c>
    </row>
    <row r="26" spans="1:5" ht="16.5">
      <c r="A26" s="2" t="s">
        <v>452</v>
      </c>
      <c r="B26" s="2" t="s">
        <v>453</v>
      </c>
      <c r="C26" s="3">
        <v>1210</v>
      </c>
      <c r="D26" s="3">
        <v>940</v>
      </c>
      <c r="E26" s="2"/>
    </row>
    <row r="27" spans="1:5" ht="16.5">
      <c r="A27" s="2" t="s">
        <v>454</v>
      </c>
      <c r="B27" s="2" t="s">
        <v>455</v>
      </c>
      <c r="C27" s="3">
        <v>1300</v>
      </c>
      <c r="D27" s="3">
        <v>980</v>
      </c>
      <c r="E27" s="2" t="s">
        <v>402</v>
      </c>
    </row>
    <row r="28" spans="1:5" ht="16.5">
      <c r="A28" s="2" t="s">
        <v>456</v>
      </c>
      <c r="B28" s="2" t="s">
        <v>457</v>
      </c>
      <c r="C28" s="3">
        <v>1390</v>
      </c>
      <c r="D28" s="3">
        <v>900</v>
      </c>
      <c r="E28" s="2" t="s">
        <v>405</v>
      </c>
    </row>
    <row r="29" spans="1:5" ht="16.5">
      <c r="A29" s="2" t="s">
        <v>458</v>
      </c>
      <c r="B29" s="2" t="s">
        <v>459</v>
      </c>
      <c r="C29" s="3">
        <v>850</v>
      </c>
      <c r="D29" s="3">
        <v>940</v>
      </c>
      <c r="E29" s="2" t="s">
        <v>408</v>
      </c>
    </row>
    <row r="30" spans="1:5" ht="16.5">
      <c r="A30" s="2" t="s">
        <v>460</v>
      </c>
      <c r="B30" s="2" t="s">
        <v>461</v>
      </c>
      <c r="C30" s="3">
        <v>940</v>
      </c>
      <c r="D30" s="3">
        <v>980</v>
      </c>
      <c r="E30" s="2" t="s">
        <v>411</v>
      </c>
    </row>
    <row r="31" spans="1:5" ht="16.5">
      <c r="A31" s="2" t="s">
        <v>462</v>
      </c>
      <c r="B31" s="2" t="s">
        <v>463</v>
      </c>
      <c r="C31" s="3">
        <v>1030</v>
      </c>
      <c r="D31" s="3">
        <v>900</v>
      </c>
      <c r="E31" s="2"/>
    </row>
  </sheetData>
  <autoFilter ref="A1:E31" xr:uid="{00000000-0009-0000-0000-00000A000000}"/>
  <phoneticPr fontId="3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1F4E79"/>
  </sheetPr>
  <dimension ref="A1:I3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2" width="16" customWidth="1"/>
    <col min="3" max="5" width="14" customWidth="1"/>
    <col min="6" max="6" width="16" customWidth="1"/>
    <col min="7" max="7" width="15" customWidth="1"/>
    <col min="8" max="8" width="16" customWidth="1"/>
    <col min="9" max="9" width="23" customWidth="1"/>
  </cols>
  <sheetData>
    <row r="1" spans="1:9" ht="21.95" customHeight="1">
      <c r="A1" s="1" t="s">
        <v>48</v>
      </c>
      <c r="B1" s="1" t="s">
        <v>49</v>
      </c>
      <c r="C1" s="1" t="s">
        <v>464</v>
      </c>
      <c r="D1" s="1" t="s">
        <v>143</v>
      </c>
      <c r="E1" s="1" t="s">
        <v>138</v>
      </c>
      <c r="F1" s="1" t="s">
        <v>465</v>
      </c>
      <c r="G1" s="1" t="s">
        <v>466</v>
      </c>
      <c r="H1" s="1" t="s">
        <v>467</v>
      </c>
      <c r="I1" s="1" t="s">
        <v>468</v>
      </c>
    </row>
    <row r="2" spans="1:9" ht="16.5">
      <c r="A2" s="2" t="s">
        <v>469</v>
      </c>
      <c r="B2" s="2" t="s">
        <v>470</v>
      </c>
      <c r="C2" s="2" t="s">
        <v>471</v>
      </c>
      <c r="D2" s="2" t="s">
        <v>149</v>
      </c>
      <c r="E2" s="3">
        <v>1</v>
      </c>
      <c r="F2" s="2" t="s">
        <v>207</v>
      </c>
      <c r="G2" s="3">
        <v>1</v>
      </c>
      <c r="H2" s="2" t="s">
        <v>472</v>
      </c>
      <c r="I2" s="2">
        <f t="shared" ref="I2:I31" si="0">G2</f>
        <v>1</v>
      </c>
    </row>
    <row r="3" spans="1:9" ht="16.5">
      <c r="A3" s="2" t="s">
        <v>473</v>
      </c>
      <c r="B3" s="2" t="s">
        <v>474</v>
      </c>
      <c r="C3" s="2" t="s">
        <v>475</v>
      </c>
      <c r="D3" s="2" t="s">
        <v>149</v>
      </c>
      <c r="E3" s="3">
        <v>2</v>
      </c>
      <c r="F3" s="2" t="s">
        <v>207</v>
      </c>
      <c r="G3" s="3">
        <v>1</v>
      </c>
      <c r="H3" s="2" t="s">
        <v>476</v>
      </c>
      <c r="I3" s="2">
        <f t="shared" si="0"/>
        <v>1</v>
      </c>
    </row>
    <row r="4" spans="1:9" ht="16.5">
      <c r="A4" s="2" t="s">
        <v>477</v>
      </c>
      <c r="B4" s="2" t="s">
        <v>478</v>
      </c>
      <c r="C4" s="2" t="s">
        <v>479</v>
      </c>
      <c r="D4" s="2" t="s">
        <v>149</v>
      </c>
      <c r="E4" s="3">
        <v>3</v>
      </c>
      <c r="F4" s="2" t="s">
        <v>207</v>
      </c>
      <c r="G4" s="3">
        <v>1</v>
      </c>
      <c r="H4" s="2" t="s">
        <v>480</v>
      </c>
      <c r="I4" s="2">
        <f t="shared" si="0"/>
        <v>1</v>
      </c>
    </row>
    <row r="5" spans="1:9" ht="16.5">
      <c r="A5" s="2" t="s">
        <v>481</v>
      </c>
      <c r="B5" s="2" t="s">
        <v>482</v>
      </c>
      <c r="C5" s="2" t="s">
        <v>471</v>
      </c>
      <c r="D5" s="2" t="s">
        <v>149</v>
      </c>
      <c r="E5" s="3">
        <v>4</v>
      </c>
      <c r="F5" s="2" t="s">
        <v>207</v>
      </c>
      <c r="G5" s="3">
        <v>1</v>
      </c>
      <c r="H5" s="2" t="s">
        <v>483</v>
      </c>
      <c r="I5" s="2">
        <f t="shared" si="0"/>
        <v>1</v>
      </c>
    </row>
    <row r="6" spans="1:9" ht="16.5">
      <c r="A6" s="2" t="s">
        <v>484</v>
      </c>
      <c r="B6" s="2" t="s">
        <v>485</v>
      </c>
      <c r="C6" s="2" t="s">
        <v>475</v>
      </c>
      <c r="D6" s="2" t="s">
        <v>149</v>
      </c>
      <c r="E6" s="3">
        <v>5</v>
      </c>
      <c r="F6" s="2" t="s">
        <v>207</v>
      </c>
      <c r="G6" s="3">
        <v>1</v>
      </c>
      <c r="H6" s="2" t="s">
        <v>486</v>
      </c>
      <c r="I6" s="2">
        <f t="shared" si="0"/>
        <v>1</v>
      </c>
    </row>
    <row r="7" spans="1:9" ht="16.5">
      <c r="A7" s="2" t="s">
        <v>487</v>
      </c>
      <c r="B7" s="2" t="s">
        <v>488</v>
      </c>
      <c r="C7" s="2" t="s">
        <v>479</v>
      </c>
      <c r="D7" s="2" t="s">
        <v>149</v>
      </c>
      <c r="E7" s="3">
        <v>1</v>
      </c>
      <c r="F7" s="2" t="s">
        <v>207</v>
      </c>
      <c r="G7" s="3">
        <v>1</v>
      </c>
      <c r="H7" s="2" t="s">
        <v>489</v>
      </c>
      <c r="I7" s="2">
        <f t="shared" si="0"/>
        <v>1</v>
      </c>
    </row>
    <row r="8" spans="1:9" ht="16.5">
      <c r="A8" s="2" t="s">
        <v>490</v>
      </c>
      <c r="B8" s="2" t="s">
        <v>491</v>
      </c>
      <c r="C8" s="2" t="s">
        <v>471</v>
      </c>
      <c r="D8" s="2" t="s">
        <v>181</v>
      </c>
      <c r="E8" s="3">
        <v>7</v>
      </c>
      <c r="F8" s="2" t="s">
        <v>207</v>
      </c>
      <c r="G8" s="3">
        <v>2</v>
      </c>
      <c r="H8" s="2" t="s">
        <v>472</v>
      </c>
      <c r="I8" s="2">
        <f t="shared" si="0"/>
        <v>2</v>
      </c>
    </row>
    <row r="9" spans="1:9" ht="16.5">
      <c r="A9" s="2" t="s">
        <v>492</v>
      </c>
      <c r="B9" s="2" t="s">
        <v>493</v>
      </c>
      <c r="C9" s="2" t="s">
        <v>475</v>
      </c>
      <c r="D9" s="2" t="s">
        <v>181</v>
      </c>
      <c r="E9" s="3">
        <v>8</v>
      </c>
      <c r="F9" s="2" t="s">
        <v>207</v>
      </c>
      <c r="G9" s="3">
        <v>2</v>
      </c>
      <c r="H9" s="2" t="s">
        <v>476</v>
      </c>
      <c r="I9" s="2">
        <f t="shared" si="0"/>
        <v>2</v>
      </c>
    </row>
    <row r="10" spans="1:9" ht="16.5">
      <c r="A10" s="2" t="s">
        <v>494</v>
      </c>
      <c r="B10" s="2" t="s">
        <v>495</v>
      </c>
      <c r="C10" s="2" t="s">
        <v>479</v>
      </c>
      <c r="D10" s="2" t="s">
        <v>181</v>
      </c>
      <c r="E10" s="3">
        <v>9</v>
      </c>
      <c r="F10" s="2" t="s">
        <v>207</v>
      </c>
      <c r="G10" s="3">
        <v>2</v>
      </c>
      <c r="H10" s="2" t="s">
        <v>480</v>
      </c>
      <c r="I10" s="2">
        <f t="shared" si="0"/>
        <v>2</v>
      </c>
    </row>
    <row r="11" spans="1:9" ht="16.5">
      <c r="A11" s="2" t="s">
        <v>496</v>
      </c>
      <c r="B11" s="2" t="s">
        <v>497</v>
      </c>
      <c r="C11" s="2" t="s">
        <v>471</v>
      </c>
      <c r="D11" s="2" t="s">
        <v>181</v>
      </c>
      <c r="E11" s="3">
        <v>10</v>
      </c>
      <c r="F11" s="2" t="s">
        <v>207</v>
      </c>
      <c r="G11" s="3">
        <v>2</v>
      </c>
      <c r="H11" s="2" t="s">
        <v>483</v>
      </c>
      <c r="I11" s="2">
        <f t="shared" si="0"/>
        <v>2</v>
      </c>
    </row>
    <row r="12" spans="1:9" ht="16.5">
      <c r="A12" s="2" t="s">
        <v>498</v>
      </c>
      <c r="B12" s="2" t="s">
        <v>499</v>
      </c>
      <c r="C12" s="2" t="s">
        <v>475</v>
      </c>
      <c r="D12" s="2" t="s">
        <v>181</v>
      </c>
      <c r="E12" s="3">
        <v>6</v>
      </c>
      <c r="F12" s="2" t="s">
        <v>207</v>
      </c>
      <c r="G12" s="3">
        <v>2</v>
      </c>
      <c r="H12" s="2" t="s">
        <v>486</v>
      </c>
      <c r="I12" s="2">
        <f t="shared" si="0"/>
        <v>2</v>
      </c>
    </row>
    <row r="13" spans="1:9" ht="16.5">
      <c r="A13" s="2" t="s">
        <v>500</v>
      </c>
      <c r="B13" s="2" t="s">
        <v>501</v>
      </c>
      <c r="C13" s="2" t="s">
        <v>479</v>
      </c>
      <c r="D13" s="2" t="s">
        <v>181</v>
      </c>
      <c r="E13" s="3">
        <v>7</v>
      </c>
      <c r="F13" s="2" t="s">
        <v>207</v>
      </c>
      <c r="G13" s="3">
        <v>2</v>
      </c>
      <c r="H13" s="2" t="s">
        <v>489</v>
      </c>
      <c r="I13" s="2">
        <f t="shared" si="0"/>
        <v>2</v>
      </c>
    </row>
    <row r="14" spans="1:9" ht="16.5">
      <c r="A14" s="2" t="s">
        <v>502</v>
      </c>
      <c r="B14" s="2" t="s">
        <v>503</v>
      </c>
      <c r="C14" s="2" t="s">
        <v>471</v>
      </c>
      <c r="D14" s="2" t="s">
        <v>216</v>
      </c>
      <c r="E14" s="3">
        <v>13</v>
      </c>
      <c r="F14" s="2" t="s">
        <v>207</v>
      </c>
      <c r="G14" s="3">
        <v>3</v>
      </c>
      <c r="H14" s="2" t="s">
        <v>472</v>
      </c>
      <c r="I14" s="2">
        <f t="shared" si="0"/>
        <v>3</v>
      </c>
    </row>
    <row r="15" spans="1:9" ht="16.5">
      <c r="A15" s="2" t="s">
        <v>504</v>
      </c>
      <c r="B15" s="2" t="s">
        <v>505</v>
      </c>
      <c r="C15" s="2" t="s">
        <v>475</v>
      </c>
      <c r="D15" s="2" t="s">
        <v>216</v>
      </c>
      <c r="E15" s="3">
        <v>14</v>
      </c>
      <c r="F15" s="2" t="s">
        <v>207</v>
      </c>
      <c r="G15" s="3">
        <v>3</v>
      </c>
      <c r="H15" s="2" t="s">
        <v>476</v>
      </c>
      <c r="I15" s="2">
        <f t="shared" si="0"/>
        <v>3</v>
      </c>
    </row>
    <row r="16" spans="1:9" ht="16.5">
      <c r="A16" s="2" t="s">
        <v>506</v>
      </c>
      <c r="B16" s="2" t="s">
        <v>507</v>
      </c>
      <c r="C16" s="2" t="s">
        <v>479</v>
      </c>
      <c r="D16" s="2" t="s">
        <v>216</v>
      </c>
      <c r="E16" s="3">
        <v>15</v>
      </c>
      <c r="F16" s="2" t="s">
        <v>207</v>
      </c>
      <c r="G16" s="3">
        <v>3</v>
      </c>
      <c r="H16" s="2" t="s">
        <v>480</v>
      </c>
      <c r="I16" s="2">
        <f t="shared" si="0"/>
        <v>3</v>
      </c>
    </row>
    <row r="17" spans="1:9" ht="16.5">
      <c r="A17" s="2" t="s">
        <v>508</v>
      </c>
      <c r="B17" s="2" t="s">
        <v>509</v>
      </c>
      <c r="C17" s="2" t="s">
        <v>471</v>
      </c>
      <c r="D17" s="2" t="s">
        <v>216</v>
      </c>
      <c r="E17" s="3">
        <v>11</v>
      </c>
      <c r="F17" s="2" t="s">
        <v>207</v>
      </c>
      <c r="G17" s="3">
        <v>3</v>
      </c>
      <c r="H17" s="2" t="s">
        <v>483</v>
      </c>
      <c r="I17" s="2">
        <f t="shared" si="0"/>
        <v>3</v>
      </c>
    </row>
    <row r="18" spans="1:9" ht="16.5">
      <c r="A18" s="2" t="s">
        <v>510</v>
      </c>
      <c r="B18" s="2" t="s">
        <v>511</v>
      </c>
      <c r="C18" s="2" t="s">
        <v>475</v>
      </c>
      <c r="D18" s="2" t="s">
        <v>216</v>
      </c>
      <c r="E18" s="3">
        <v>12</v>
      </c>
      <c r="F18" s="2" t="s">
        <v>207</v>
      </c>
      <c r="G18" s="3">
        <v>3</v>
      </c>
      <c r="H18" s="2" t="s">
        <v>486</v>
      </c>
      <c r="I18" s="2">
        <f t="shared" si="0"/>
        <v>3</v>
      </c>
    </row>
    <row r="19" spans="1:9" ht="16.5">
      <c r="A19" s="2" t="s">
        <v>512</v>
      </c>
      <c r="B19" s="2" t="s">
        <v>513</v>
      </c>
      <c r="C19" s="2" t="s">
        <v>479</v>
      </c>
      <c r="D19" s="2" t="s">
        <v>216</v>
      </c>
      <c r="E19" s="3">
        <v>13</v>
      </c>
      <c r="F19" s="2" t="s">
        <v>207</v>
      </c>
      <c r="G19" s="3">
        <v>3</v>
      </c>
      <c r="H19" s="2" t="s">
        <v>489</v>
      </c>
      <c r="I19" s="2">
        <f t="shared" si="0"/>
        <v>3</v>
      </c>
    </row>
    <row r="20" spans="1:9" ht="16.5">
      <c r="A20" s="2" t="s">
        <v>514</v>
      </c>
      <c r="B20" s="2" t="s">
        <v>515</v>
      </c>
      <c r="C20" s="2" t="s">
        <v>471</v>
      </c>
      <c r="D20" s="2" t="s">
        <v>228</v>
      </c>
      <c r="E20" s="3">
        <v>19</v>
      </c>
      <c r="F20" s="2" t="s">
        <v>207</v>
      </c>
      <c r="G20" s="3">
        <v>4</v>
      </c>
      <c r="H20" s="2" t="s">
        <v>472</v>
      </c>
      <c r="I20" s="2">
        <f t="shared" si="0"/>
        <v>4</v>
      </c>
    </row>
    <row r="21" spans="1:9" ht="16.5">
      <c r="A21" s="2" t="s">
        <v>516</v>
      </c>
      <c r="B21" s="2" t="s">
        <v>517</v>
      </c>
      <c r="C21" s="2" t="s">
        <v>475</v>
      </c>
      <c r="D21" s="2" t="s">
        <v>228</v>
      </c>
      <c r="E21" s="3">
        <v>20</v>
      </c>
      <c r="F21" s="2" t="s">
        <v>207</v>
      </c>
      <c r="G21" s="3">
        <v>4</v>
      </c>
      <c r="H21" s="2" t="s">
        <v>476</v>
      </c>
      <c r="I21" s="2">
        <f t="shared" si="0"/>
        <v>4</v>
      </c>
    </row>
    <row r="22" spans="1:9" ht="16.5">
      <c r="A22" s="2" t="s">
        <v>518</v>
      </c>
      <c r="B22" s="2" t="s">
        <v>519</v>
      </c>
      <c r="C22" s="2" t="s">
        <v>479</v>
      </c>
      <c r="D22" s="2" t="s">
        <v>228</v>
      </c>
      <c r="E22" s="3">
        <v>16</v>
      </c>
      <c r="F22" s="2" t="s">
        <v>207</v>
      </c>
      <c r="G22" s="3">
        <v>4</v>
      </c>
      <c r="H22" s="2" t="s">
        <v>480</v>
      </c>
      <c r="I22" s="2">
        <f t="shared" si="0"/>
        <v>4</v>
      </c>
    </row>
    <row r="23" spans="1:9" ht="16.5">
      <c r="A23" s="2" t="s">
        <v>520</v>
      </c>
      <c r="B23" s="2" t="s">
        <v>521</v>
      </c>
      <c r="C23" s="2" t="s">
        <v>471</v>
      </c>
      <c r="D23" s="2" t="s">
        <v>228</v>
      </c>
      <c r="E23" s="3">
        <v>17</v>
      </c>
      <c r="F23" s="2" t="s">
        <v>207</v>
      </c>
      <c r="G23" s="3">
        <v>4</v>
      </c>
      <c r="H23" s="2" t="s">
        <v>483</v>
      </c>
      <c r="I23" s="2">
        <f t="shared" si="0"/>
        <v>4</v>
      </c>
    </row>
    <row r="24" spans="1:9" ht="16.5">
      <c r="A24" s="2" t="s">
        <v>522</v>
      </c>
      <c r="B24" s="2" t="s">
        <v>523</v>
      </c>
      <c r="C24" s="2" t="s">
        <v>475</v>
      </c>
      <c r="D24" s="2" t="s">
        <v>228</v>
      </c>
      <c r="E24" s="3">
        <v>18</v>
      </c>
      <c r="F24" s="2" t="s">
        <v>207</v>
      </c>
      <c r="G24" s="3">
        <v>4</v>
      </c>
      <c r="H24" s="2" t="s">
        <v>486</v>
      </c>
      <c r="I24" s="2">
        <f t="shared" si="0"/>
        <v>4</v>
      </c>
    </row>
    <row r="25" spans="1:9" ht="16.5">
      <c r="A25" s="2" t="s">
        <v>524</v>
      </c>
      <c r="B25" s="2" t="s">
        <v>525</v>
      </c>
      <c r="C25" s="2" t="s">
        <v>479</v>
      </c>
      <c r="D25" s="2" t="s">
        <v>228</v>
      </c>
      <c r="E25" s="3">
        <v>19</v>
      </c>
      <c r="F25" s="2" t="s">
        <v>207</v>
      </c>
      <c r="G25" s="3">
        <v>4</v>
      </c>
      <c r="H25" s="2" t="s">
        <v>489</v>
      </c>
      <c r="I25" s="2">
        <f t="shared" si="0"/>
        <v>4</v>
      </c>
    </row>
    <row r="26" spans="1:9" ht="16.5">
      <c r="A26" s="2" t="s">
        <v>526</v>
      </c>
      <c r="B26" s="2" t="s">
        <v>527</v>
      </c>
      <c r="C26" s="2" t="s">
        <v>471</v>
      </c>
      <c r="D26" s="2" t="s">
        <v>528</v>
      </c>
      <c r="E26" s="3">
        <v>25</v>
      </c>
      <c r="F26" s="2" t="s">
        <v>207</v>
      </c>
      <c r="G26" s="3">
        <v>5</v>
      </c>
      <c r="H26" s="2" t="s">
        <v>472</v>
      </c>
      <c r="I26" s="2">
        <f t="shared" si="0"/>
        <v>5</v>
      </c>
    </row>
    <row r="27" spans="1:9" ht="16.5">
      <c r="A27" s="2" t="s">
        <v>529</v>
      </c>
      <c r="B27" s="2" t="s">
        <v>530</v>
      </c>
      <c r="C27" s="2" t="s">
        <v>475</v>
      </c>
      <c r="D27" s="2" t="s">
        <v>528</v>
      </c>
      <c r="E27" s="3">
        <v>21</v>
      </c>
      <c r="F27" s="2" t="s">
        <v>207</v>
      </c>
      <c r="G27" s="3">
        <v>5</v>
      </c>
      <c r="H27" s="2" t="s">
        <v>476</v>
      </c>
      <c r="I27" s="2">
        <f t="shared" si="0"/>
        <v>5</v>
      </c>
    </row>
    <row r="28" spans="1:9" ht="16.5">
      <c r="A28" s="2" t="s">
        <v>531</v>
      </c>
      <c r="B28" s="2" t="s">
        <v>532</v>
      </c>
      <c r="C28" s="2" t="s">
        <v>479</v>
      </c>
      <c r="D28" s="2" t="s">
        <v>528</v>
      </c>
      <c r="E28" s="3">
        <v>22</v>
      </c>
      <c r="F28" s="2" t="s">
        <v>207</v>
      </c>
      <c r="G28" s="3">
        <v>5</v>
      </c>
      <c r="H28" s="2" t="s">
        <v>480</v>
      </c>
      <c r="I28" s="2">
        <f t="shared" si="0"/>
        <v>5</v>
      </c>
    </row>
    <row r="29" spans="1:9" ht="16.5">
      <c r="A29" s="2" t="s">
        <v>533</v>
      </c>
      <c r="B29" s="2" t="s">
        <v>534</v>
      </c>
      <c r="C29" s="2" t="s">
        <v>471</v>
      </c>
      <c r="D29" s="2" t="s">
        <v>528</v>
      </c>
      <c r="E29" s="3">
        <v>23</v>
      </c>
      <c r="F29" s="2" t="s">
        <v>207</v>
      </c>
      <c r="G29" s="3">
        <v>5</v>
      </c>
      <c r="H29" s="2" t="s">
        <v>483</v>
      </c>
      <c r="I29" s="2">
        <f t="shared" si="0"/>
        <v>5</v>
      </c>
    </row>
    <row r="30" spans="1:9" ht="16.5">
      <c r="A30" s="2" t="s">
        <v>535</v>
      </c>
      <c r="B30" s="2" t="s">
        <v>536</v>
      </c>
      <c r="C30" s="2" t="s">
        <v>475</v>
      </c>
      <c r="D30" s="2" t="s">
        <v>528</v>
      </c>
      <c r="E30" s="3">
        <v>24</v>
      </c>
      <c r="F30" s="2" t="s">
        <v>207</v>
      </c>
      <c r="G30" s="3">
        <v>5</v>
      </c>
      <c r="H30" s="2" t="s">
        <v>486</v>
      </c>
      <c r="I30" s="2">
        <f t="shared" si="0"/>
        <v>5</v>
      </c>
    </row>
    <row r="31" spans="1:9" ht="16.5">
      <c r="A31" s="2" t="s">
        <v>537</v>
      </c>
      <c r="B31" s="2" t="s">
        <v>538</v>
      </c>
      <c r="C31" s="2" t="s">
        <v>479</v>
      </c>
      <c r="D31" s="2" t="s">
        <v>528</v>
      </c>
      <c r="E31" s="3">
        <v>25</v>
      </c>
      <c r="F31" s="2" t="s">
        <v>207</v>
      </c>
      <c r="G31" s="3">
        <v>5</v>
      </c>
      <c r="H31" s="2" t="s">
        <v>489</v>
      </c>
      <c r="I31" s="2">
        <f t="shared" si="0"/>
        <v>5</v>
      </c>
    </row>
  </sheetData>
  <autoFilter ref="A1:I31" xr:uid="{00000000-0009-0000-0000-00000B000000}"/>
  <phoneticPr fontId="3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4E79"/>
  </sheetPr>
  <dimension ref="A1:F3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4" customWidth="1"/>
    <col min="2" max="2" width="16" customWidth="1"/>
    <col min="3" max="6" width="14" customWidth="1"/>
  </cols>
  <sheetData>
    <row r="1" spans="1:6" ht="21.95" customHeight="1">
      <c r="A1" s="1" t="s">
        <v>48</v>
      </c>
      <c r="B1" s="1" t="s">
        <v>539</v>
      </c>
      <c r="C1" s="1" t="s">
        <v>540</v>
      </c>
      <c r="D1" s="1" t="s">
        <v>541</v>
      </c>
      <c r="E1" s="1" t="s">
        <v>542</v>
      </c>
      <c r="F1" s="1" t="s">
        <v>543</v>
      </c>
    </row>
    <row r="2" spans="1:6" ht="16.5">
      <c r="A2" s="2" t="s">
        <v>544</v>
      </c>
      <c r="B2" s="2" t="s">
        <v>489</v>
      </c>
      <c r="C2" s="2" t="s">
        <v>545</v>
      </c>
      <c r="D2" s="3">
        <v>2</v>
      </c>
      <c r="E2" s="3">
        <v>5</v>
      </c>
      <c r="F2" s="3">
        <v>20</v>
      </c>
    </row>
    <row r="3" spans="1:6" ht="16.5">
      <c r="A3" s="2" t="s">
        <v>546</v>
      </c>
      <c r="B3" s="2" t="s">
        <v>489</v>
      </c>
      <c r="C3" s="2" t="s">
        <v>54</v>
      </c>
      <c r="D3" s="3">
        <v>3</v>
      </c>
      <c r="E3" s="3">
        <v>7</v>
      </c>
      <c r="F3" s="3">
        <v>20</v>
      </c>
    </row>
    <row r="4" spans="1:6" ht="16.5">
      <c r="A4" s="2" t="s">
        <v>547</v>
      </c>
      <c r="B4" s="2" t="s">
        <v>489</v>
      </c>
      <c r="C4" s="2" t="s">
        <v>548</v>
      </c>
      <c r="D4" s="3">
        <v>4</v>
      </c>
      <c r="E4" s="3">
        <v>9</v>
      </c>
      <c r="F4" s="3">
        <v>20</v>
      </c>
    </row>
    <row r="5" spans="1:6" ht="16.5">
      <c r="A5" s="2" t="s">
        <v>549</v>
      </c>
      <c r="B5" s="2" t="s">
        <v>489</v>
      </c>
      <c r="C5" s="2" t="s">
        <v>52</v>
      </c>
      <c r="D5" s="3">
        <v>5</v>
      </c>
      <c r="E5" s="3">
        <v>11</v>
      </c>
      <c r="F5" s="3">
        <v>20</v>
      </c>
    </row>
    <row r="6" spans="1:6" ht="16.5">
      <c r="A6" s="2" t="s">
        <v>550</v>
      </c>
      <c r="B6" s="2" t="s">
        <v>489</v>
      </c>
      <c r="C6" s="2" t="s">
        <v>551</v>
      </c>
      <c r="D6" s="3">
        <v>6</v>
      </c>
      <c r="E6" s="3">
        <v>13</v>
      </c>
      <c r="F6" s="3">
        <v>20</v>
      </c>
    </row>
    <row r="7" spans="1:6" ht="16.5">
      <c r="A7" s="2" t="s">
        <v>552</v>
      </c>
      <c r="B7" s="2" t="s">
        <v>472</v>
      </c>
      <c r="C7" s="2" t="s">
        <v>545</v>
      </c>
      <c r="D7" s="3">
        <v>3</v>
      </c>
      <c r="E7" s="3">
        <v>8</v>
      </c>
      <c r="F7" s="3">
        <v>20</v>
      </c>
    </row>
    <row r="8" spans="1:6" ht="16.5">
      <c r="A8" s="2" t="s">
        <v>553</v>
      </c>
      <c r="B8" s="2" t="s">
        <v>472</v>
      </c>
      <c r="C8" s="2" t="s">
        <v>54</v>
      </c>
      <c r="D8" s="3">
        <v>4</v>
      </c>
      <c r="E8" s="3">
        <v>10</v>
      </c>
      <c r="F8" s="3">
        <v>20</v>
      </c>
    </row>
    <row r="9" spans="1:6" ht="16.5">
      <c r="A9" s="2" t="s">
        <v>554</v>
      </c>
      <c r="B9" s="2" t="s">
        <v>472</v>
      </c>
      <c r="C9" s="2" t="s">
        <v>548</v>
      </c>
      <c r="D9" s="3">
        <v>5</v>
      </c>
      <c r="E9" s="3">
        <v>12</v>
      </c>
      <c r="F9" s="3">
        <v>20</v>
      </c>
    </row>
    <row r="10" spans="1:6" ht="16.5">
      <c r="A10" s="2" t="s">
        <v>555</v>
      </c>
      <c r="B10" s="2" t="s">
        <v>472</v>
      </c>
      <c r="C10" s="2" t="s">
        <v>52</v>
      </c>
      <c r="D10" s="3">
        <v>6</v>
      </c>
      <c r="E10" s="3">
        <v>14</v>
      </c>
      <c r="F10" s="3">
        <v>20</v>
      </c>
    </row>
    <row r="11" spans="1:6" ht="16.5">
      <c r="A11" s="2" t="s">
        <v>556</v>
      </c>
      <c r="B11" s="2" t="s">
        <v>472</v>
      </c>
      <c r="C11" s="2" t="s">
        <v>551</v>
      </c>
      <c r="D11" s="3">
        <v>7</v>
      </c>
      <c r="E11" s="3">
        <v>16</v>
      </c>
      <c r="F11" s="3">
        <v>20</v>
      </c>
    </row>
    <row r="12" spans="1:6" ht="16.5">
      <c r="A12" s="2" t="s">
        <v>557</v>
      </c>
      <c r="B12" s="2" t="s">
        <v>476</v>
      </c>
      <c r="C12" s="2" t="s">
        <v>545</v>
      </c>
      <c r="D12" s="3">
        <v>4</v>
      </c>
      <c r="E12" s="3">
        <v>11</v>
      </c>
      <c r="F12" s="3">
        <v>20</v>
      </c>
    </row>
    <row r="13" spans="1:6" ht="16.5">
      <c r="A13" s="2" t="s">
        <v>558</v>
      </c>
      <c r="B13" s="2" t="s">
        <v>476</v>
      </c>
      <c r="C13" s="2" t="s">
        <v>54</v>
      </c>
      <c r="D13" s="3">
        <v>5</v>
      </c>
      <c r="E13" s="3">
        <v>13</v>
      </c>
      <c r="F13" s="3">
        <v>20</v>
      </c>
    </row>
    <row r="14" spans="1:6" ht="16.5">
      <c r="A14" s="2" t="s">
        <v>559</v>
      </c>
      <c r="B14" s="2" t="s">
        <v>476</v>
      </c>
      <c r="C14" s="2" t="s">
        <v>548</v>
      </c>
      <c r="D14" s="3">
        <v>6</v>
      </c>
      <c r="E14" s="3">
        <v>15</v>
      </c>
      <c r="F14" s="3">
        <v>20</v>
      </c>
    </row>
    <row r="15" spans="1:6" ht="16.5">
      <c r="A15" s="2" t="s">
        <v>560</v>
      </c>
      <c r="B15" s="2" t="s">
        <v>476</v>
      </c>
      <c r="C15" s="2" t="s">
        <v>52</v>
      </c>
      <c r="D15" s="3">
        <v>7</v>
      </c>
      <c r="E15" s="3">
        <v>17</v>
      </c>
      <c r="F15" s="3">
        <v>20</v>
      </c>
    </row>
    <row r="16" spans="1:6" ht="16.5">
      <c r="A16" s="2" t="s">
        <v>561</v>
      </c>
      <c r="B16" s="2" t="s">
        <v>476</v>
      </c>
      <c r="C16" s="2" t="s">
        <v>551</v>
      </c>
      <c r="D16" s="3">
        <v>8</v>
      </c>
      <c r="E16" s="3">
        <v>19</v>
      </c>
      <c r="F16" s="3">
        <v>20</v>
      </c>
    </row>
    <row r="17" spans="1:6" ht="16.5">
      <c r="A17" s="2" t="s">
        <v>562</v>
      </c>
      <c r="B17" s="2" t="s">
        <v>480</v>
      </c>
      <c r="C17" s="2" t="s">
        <v>545</v>
      </c>
      <c r="D17" s="3">
        <v>5</v>
      </c>
      <c r="E17" s="3">
        <v>14</v>
      </c>
      <c r="F17" s="3">
        <v>20</v>
      </c>
    </row>
    <row r="18" spans="1:6" ht="16.5">
      <c r="A18" s="2" t="s">
        <v>563</v>
      </c>
      <c r="B18" s="2" t="s">
        <v>480</v>
      </c>
      <c r="C18" s="2" t="s">
        <v>54</v>
      </c>
      <c r="D18" s="3">
        <v>6</v>
      </c>
      <c r="E18" s="3">
        <v>16</v>
      </c>
      <c r="F18" s="3">
        <v>20</v>
      </c>
    </row>
    <row r="19" spans="1:6" ht="16.5">
      <c r="A19" s="2" t="s">
        <v>564</v>
      </c>
      <c r="B19" s="2" t="s">
        <v>480</v>
      </c>
      <c r="C19" s="2" t="s">
        <v>548</v>
      </c>
      <c r="D19" s="3">
        <v>7</v>
      </c>
      <c r="E19" s="3">
        <v>18</v>
      </c>
      <c r="F19" s="3">
        <v>20</v>
      </c>
    </row>
    <row r="20" spans="1:6" ht="16.5">
      <c r="A20" s="2" t="s">
        <v>565</v>
      </c>
      <c r="B20" s="2" t="s">
        <v>480</v>
      </c>
      <c r="C20" s="2" t="s">
        <v>52</v>
      </c>
      <c r="D20" s="3">
        <v>8</v>
      </c>
      <c r="E20" s="3">
        <v>20</v>
      </c>
      <c r="F20" s="3">
        <v>20</v>
      </c>
    </row>
    <row r="21" spans="1:6" ht="16.5">
      <c r="A21" s="2" t="s">
        <v>566</v>
      </c>
      <c r="B21" s="2" t="s">
        <v>480</v>
      </c>
      <c r="C21" s="2" t="s">
        <v>551</v>
      </c>
      <c r="D21" s="3">
        <v>9</v>
      </c>
      <c r="E21" s="3">
        <v>22</v>
      </c>
      <c r="F21" s="3">
        <v>20</v>
      </c>
    </row>
    <row r="22" spans="1:6" ht="16.5">
      <c r="A22" s="2" t="s">
        <v>567</v>
      </c>
      <c r="B22" s="2" t="s">
        <v>483</v>
      </c>
      <c r="C22" s="2" t="s">
        <v>545</v>
      </c>
      <c r="D22" s="3">
        <v>6</v>
      </c>
      <c r="E22" s="3">
        <v>17</v>
      </c>
      <c r="F22" s="3">
        <v>20</v>
      </c>
    </row>
    <row r="23" spans="1:6" ht="16.5">
      <c r="A23" s="2" t="s">
        <v>568</v>
      </c>
      <c r="B23" s="2" t="s">
        <v>483</v>
      </c>
      <c r="C23" s="2" t="s">
        <v>54</v>
      </c>
      <c r="D23" s="3">
        <v>7</v>
      </c>
      <c r="E23" s="3">
        <v>19</v>
      </c>
      <c r="F23" s="3">
        <v>20</v>
      </c>
    </row>
    <row r="24" spans="1:6" ht="16.5">
      <c r="A24" s="2" t="s">
        <v>569</v>
      </c>
      <c r="B24" s="2" t="s">
        <v>483</v>
      </c>
      <c r="C24" s="2" t="s">
        <v>548</v>
      </c>
      <c r="D24" s="3">
        <v>8</v>
      </c>
      <c r="E24" s="3">
        <v>21</v>
      </c>
      <c r="F24" s="3">
        <v>20</v>
      </c>
    </row>
    <row r="25" spans="1:6" ht="16.5">
      <c r="A25" s="2" t="s">
        <v>570</v>
      </c>
      <c r="B25" s="2" t="s">
        <v>483</v>
      </c>
      <c r="C25" s="2" t="s">
        <v>52</v>
      </c>
      <c r="D25" s="3">
        <v>9</v>
      </c>
      <c r="E25" s="3">
        <v>23</v>
      </c>
      <c r="F25" s="3">
        <v>20</v>
      </c>
    </row>
    <row r="26" spans="1:6" ht="16.5">
      <c r="A26" s="2" t="s">
        <v>571</v>
      </c>
      <c r="B26" s="2" t="s">
        <v>483</v>
      </c>
      <c r="C26" s="2" t="s">
        <v>551</v>
      </c>
      <c r="D26" s="3">
        <v>10</v>
      </c>
      <c r="E26" s="3">
        <v>25</v>
      </c>
      <c r="F26" s="3">
        <v>20</v>
      </c>
    </row>
    <row r="27" spans="1:6" ht="16.5">
      <c r="A27" s="2" t="s">
        <v>572</v>
      </c>
      <c r="B27" s="2" t="s">
        <v>486</v>
      </c>
      <c r="C27" s="2" t="s">
        <v>545</v>
      </c>
      <c r="D27" s="3">
        <v>7</v>
      </c>
      <c r="E27" s="3">
        <v>20</v>
      </c>
      <c r="F27" s="3">
        <v>20</v>
      </c>
    </row>
    <row r="28" spans="1:6" ht="16.5">
      <c r="A28" s="2" t="s">
        <v>573</v>
      </c>
      <c r="B28" s="2" t="s">
        <v>486</v>
      </c>
      <c r="C28" s="2" t="s">
        <v>54</v>
      </c>
      <c r="D28" s="3">
        <v>8</v>
      </c>
      <c r="E28" s="3">
        <v>22</v>
      </c>
      <c r="F28" s="3">
        <v>20</v>
      </c>
    </row>
    <row r="29" spans="1:6" ht="16.5">
      <c r="A29" s="2" t="s">
        <v>574</v>
      </c>
      <c r="B29" s="2" t="s">
        <v>486</v>
      </c>
      <c r="C29" s="2" t="s">
        <v>548</v>
      </c>
      <c r="D29" s="3">
        <v>9</v>
      </c>
      <c r="E29" s="3">
        <v>24</v>
      </c>
      <c r="F29" s="3">
        <v>20</v>
      </c>
    </row>
    <row r="30" spans="1:6" ht="16.5">
      <c r="A30" s="2" t="s">
        <v>575</v>
      </c>
      <c r="B30" s="2" t="s">
        <v>486</v>
      </c>
      <c r="C30" s="2" t="s">
        <v>52</v>
      </c>
      <c r="D30" s="3">
        <v>10</v>
      </c>
      <c r="E30" s="3">
        <v>26</v>
      </c>
      <c r="F30" s="3">
        <v>20</v>
      </c>
    </row>
    <row r="31" spans="1:6" ht="16.5">
      <c r="A31" s="2" t="s">
        <v>576</v>
      </c>
      <c r="B31" s="2" t="s">
        <v>486</v>
      </c>
      <c r="C31" s="2" t="s">
        <v>551</v>
      </c>
      <c r="D31" s="3">
        <v>11</v>
      </c>
      <c r="E31" s="3">
        <v>28</v>
      </c>
      <c r="F31" s="3">
        <v>20</v>
      </c>
    </row>
  </sheetData>
  <autoFilter ref="A1:F31" xr:uid="{00000000-0009-0000-0000-00000C000000}"/>
  <phoneticPr fontId="3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4E79"/>
  </sheetPr>
  <dimension ref="A1:J13"/>
  <sheetViews>
    <sheetView workbookViewId="0">
      <pane ySplit="1" topLeftCell="A2" activePane="bottomLeft" state="frozen"/>
      <selection pane="bottomLeft"/>
    </sheetView>
  </sheetViews>
  <sheetFormatPr defaultRowHeight="13.5"/>
  <cols>
    <col min="1" max="2" width="16" customWidth="1"/>
    <col min="3" max="4" width="14" customWidth="1"/>
    <col min="5" max="5" width="47" customWidth="1"/>
    <col min="6" max="6" width="17" customWidth="1"/>
    <col min="7" max="7" width="16" customWidth="1"/>
    <col min="8" max="8" width="15" customWidth="1"/>
    <col min="9" max="9" width="17" customWidth="1"/>
    <col min="10" max="10" width="40" customWidth="1"/>
  </cols>
  <sheetData>
    <row r="1" spans="1:10" ht="21.95" customHeight="1">
      <c r="A1" s="1" t="s">
        <v>577</v>
      </c>
      <c r="B1" s="1" t="s">
        <v>578</v>
      </c>
      <c r="C1" s="1" t="s">
        <v>579</v>
      </c>
      <c r="D1" s="1" t="s">
        <v>580</v>
      </c>
      <c r="E1" s="1" t="s">
        <v>581</v>
      </c>
      <c r="F1" s="1" t="s">
        <v>582</v>
      </c>
      <c r="G1" s="1" t="s">
        <v>465</v>
      </c>
      <c r="H1" s="1" t="s">
        <v>466</v>
      </c>
      <c r="I1" s="1" t="s">
        <v>583</v>
      </c>
      <c r="J1" s="1" t="s">
        <v>584</v>
      </c>
    </row>
    <row r="2" spans="1:10" ht="16.5">
      <c r="A2" s="2" t="s">
        <v>514</v>
      </c>
      <c r="B2" s="2" t="s">
        <v>514</v>
      </c>
      <c r="C2" s="3">
        <v>8</v>
      </c>
      <c r="D2" s="3">
        <v>390</v>
      </c>
      <c r="E2" s="2" t="s">
        <v>585</v>
      </c>
      <c r="F2" s="2">
        <f t="shared" ref="F2:F7" si="0">20+6+2</f>
        <v>28</v>
      </c>
      <c r="G2" s="2" t="s">
        <v>207</v>
      </c>
      <c r="H2" s="3">
        <v>4</v>
      </c>
      <c r="I2" s="2">
        <f t="shared" ref="I2:I13" si="1">H2*2</f>
        <v>8</v>
      </c>
      <c r="J2" s="2" t="str">
        <f t="shared" ref="J2:J13" si="2">IF(AND(F2&gt;0,I2&gt;=F2),"套利","ok")</f>
        <v>ok</v>
      </c>
    </row>
    <row r="3" spans="1:10" ht="16.5">
      <c r="A3" s="2" t="s">
        <v>516</v>
      </c>
      <c r="B3" s="2" t="s">
        <v>516</v>
      </c>
      <c r="C3" s="3">
        <v>8</v>
      </c>
      <c r="D3" s="3">
        <v>390</v>
      </c>
      <c r="E3" s="2" t="s">
        <v>586</v>
      </c>
      <c r="F3" s="2">
        <f t="shared" si="0"/>
        <v>28</v>
      </c>
      <c r="G3" s="2" t="s">
        <v>207</v>
      </c>
      <c r="H3" s="3">
        <v>4</v>
      </c>
      <c r="I3" s="2">
        <f t="shared" si="1"/>
        <v>8</v>
      </c>
      <c r="J3" s="2" t="str">
        <f t="shared" si="2"/>
        <v>ok</v>
      </c>
    </row>
    <row r="4" spans="1:10" ht="16.5">
      <c r="A4" s="2" t="s">
        <v>518</v>
      </c>
      <c r="B4" s="2" t="s">
        <v>518</v>
      </c>
      <c r="C4" s="3">
        <v>8</v>
      </c>
      <c r="D4" s="3">
        <v>390</v>
      </c>
      <c r="E4" s="2" t="s">
        <v>585</v>
      </c>
      <c r="F4" s="2">
        <f t="shared" si="0"/>
        <v>28</v>
      </c>
      <c r="G4" s="2" t="s">
        <v>207</v>
      </c>
      <c r="H4" s="3">
        <v>4</v>
      </c>
      <c r="I4" s="2">
        <f t="shared" si="1"/>
        <v>8</v>
      </c>
      <c r="J4" s="2" t="str">
        <f t="shared" si="2"/>
        <v>ok</v>
      </c>
    </row>
    <row r="5" spans="1:10" ht="16.5">
      <c r="A5" s="2" t="s">
        <v>520</v>
      </c>
      <c r="B5" s="2" t="s">
        <v>520</v>
      </c>
      <c r="C5" s="3">
        <v>8</v>
      </c>
      <c r="D5" s="3">
        <v>390</v>
      </c>
      <c r="E5" s="2" t="s">
        <v>586</v>
      </c>
      <c r="F5" s="2">
        <f t="shared" si="0"/>
        <v>28</v>
      </c>
      <c r="G5" s="2" t="s">
        <v>207</v>
      </c>
      <c r="H5" s="3">
        <v>4</v>
      </c>
      <c r="I5" s="2">
        <f t="shared" si="1"/>
        <v>8</v>
      </c>
      <c r="J5" s="2" t="str">
        <f t="shared" si="2"/>
        <v>ok</v>
      </c>
    </row>
    <row r="6" spans="1:10" ht="16.5">
      <c r="A6" s="2" t="s">
        <v>522</v>
      </c>
      <c r="B6" s="2" t="s">
        <v>522</v>
      </c>
      <c r="C6" s="3">
        <v>8</v>
      </c>
      <c r="D6" s="3">
        <v>390</v>
      </c>
      <c r="E6" s="2" t="s">
        <v>587</v>
      </c>
      <c r="F6" s="2">
        <f t="shared" si="0"/>
        <v>28</v>
      </c>
      <c r="G6" s="2" t="s">
        <v>207</v>
      </c>
      <c r="H6" s="3">
        <v>4</v>
      </c>
      <c r="I6" s="2">
        <f t="shared" si="1"/>
        <v>8</v>
      </c>
      <c r="J6" s="2" t="str">
        <f t="shared" si="2"/>
        <v>ok</v>
      </c>
    </row>
    <row r="7" spans="1:10" ht="16.5">
      <c r="A7" s="2" t="s">
        <v>524</v>
      </c>
      <c r="B7" s="2" t="s">
        <v>524</v>
      </c>
      <c r="C7" s="3">
        <v>8</v>
      </c>
      <c r="D7" s="3">
        <v>390</v>
      </c>
      <c r="E7" s="2" t="s">
        <v>588</v>
      </c>
      <c r="F7" s="2">
        <f t="shared" si="0"/>
        <v>28</v>
      </c>
      <c r="G7" s="2" t="s">
        <v>207</v>
      </c>
      <c r="H7" s="3">
        <v>4</v>
      </c>
      <c r="I7" s="2">
        <f t="shared" si="1"/>
        <v>8</v>
      </c>
      <c r="J7" s="2" t="str">
        <f t="shared" si="2"/>
        <v>ok</v>
      </c>
    </row>
    <row r="8" spans="1:10" ht="16.5">
      <c r="A8" s="2" t="s">
        <v>526</v>
      </c>
      <c r="B8" s="2" t="s">
        <v>526</v>
      </c>
      <c r="C8" s="3">
        <v>10</v>
      </c>
      <c r="D8" s="3">
        <v>480</v>
      </c>
      <c r="E8" s="2" t="s">
        <v>589</v>
      </c>
      <c r="F8" s="2">
        <f t="shared" ref="F8:F13" si="3">24+8+2</f>
        <v>34</v>
      </c>
      <c r="G8" s="2" t="s">
        <v>207</v>
      </c>
      <c r="H8" s="3">
        <v>5</v>
      </c>
      <c r="I8" s="2">
        <f t="shared" si="1"/>
        <v>10</v>
      </c>
      <c r="J8" s="2" t="str">
        <f t="shared" si="2"/>
        <v>ok</v>
      </c>
    </row>
    <row r="9" spans="1:10" ht="16.5">
      <c r="A9" s="2" t="s">
        <v>529</v>
      </c>
      <c r="B9" s="2" t="s">
        <v>529</v>
      </c>
      <c r="C9" s="3">
        <v>10</v>
      </c>
      <c r="D9" s="3">
        <v>480</v>
      </c>
      <c r="E9" s="2" t="s">
        <v>590</v>
      </c>
      <c r="F9" s="2">
        <f t="shared" si="3"/>
        <v>34</v>
      </c>
      <c r="G9" s="2" t="s">
        <v>207</v>
      </c>
      <c r="H9" s="3">
        <v>5</v>
      </c>
      <c r="I9" s="2">
        <f t="shared" si="1"/>
        <v>10</v>
      </c>
      <c r="J9" s="2" t="str">
        <f t="shared" si="2"/>
        <v>ok</v>
      </c>
    </row>
    <row r="10" spans="1:10" ht="16.5">
      <c r="A10" s="2" t="s">
        <v>531</v>
      </c>
      <c r="B10" s="2" t="s">
        <v>531</v>
      </c>
      <c r="C10" s="3">
        <v>10</v>
      </c>
      <c r="D10" s="3">
        <v>480</v>
      </c>
      <c r="E10" s="2" t="s">
        <v>591</v>
      </c>
      <c r="F10" s="2">
        <f t="shared" si="3"/>
        <v>34</v>
      </c>
      <c r="G10" s="2" t="s">
        <v>207</v>
      </c>
      <c r="H10" s="3">
        <v>5</v>
      </c>
      <c r="I10" s="2">
        <f t="shared" si="1"/>
        <v>10</v>
      </c>
      <c r="J10" s="2" t="str">
        <f t="shared" si="2"/>
        <v>ok</v>
      </c>
    </row>
    <row r="11" spans="1:10" ht="16.5">
      <c r="A11" s="2" t="s">
        <v>533</v>
      </c>
      <c r="B11" s="2" t="s">
        <v>533</v>
      </c>
      <c r="C11" s="3">
        <v>10</v>
      </c>
      <c r="D11" s="3">
        <v>480</v>
      </c>
      <c r="E11" s="2" t="s">
        <v>592</v>
      </c>
      <c r="F11" s="2">
        <f t="shared" si="3"/>
        <v>34</v>
      </c>
      <c r="G11" s="2" t="s">
        <v>207</v>
      </c>
      <c r="H11" s="3">
        <v>5</v>
      </c>
      <c r="I11" s="2">
        <f t="shared" si="1"/>
        <v>10</v>
      </c>
      <c r="J11" s="2" t="str">
        <f t="shared" si="2"/>
        <v>ok</v>
      </c>
    </row>
    <row r="12" spans="1:10" ht="16.5">
      <c r="A12" s="2" t="s">
        <v>535</v>
      </c>
      <c r="B12" s="2" t="s">
        <v>535</v>
      </c>
      <c r="C12" s="3">
        <v>10</v>
      </c>
      <c r="D12" s="3">
        <v>480</v>
      </c>
      <c r="E12" s="2" t="s">
        <v>591</v>
      </c>
      <c r="F12" s="2">
        <f t="shared" si="3"/>
        <v>34</v>
      </c>
      <c r="G12" s="2" t="s">
        <v>207</v>
      </c>
      <c r="H12" s="3">
        <v>5</v>
      </c>
      <c r="I12" s="2">
        <f t="shared" si="1"/>
        <v>10</v>
      </c>
      <c r="J12" s="2" t="str">
        <f t="shared" si="2"/>
        <v>ok</v>
      </c>
    </row>
    <row r="13" spans="1:10" ht="16.5">
      <c r="A13" s="2" t="s">
        <v>537</v>
      </c>
      <c r="B13" s="2" t="s">
        <v>537</v>
      </c>
      <c r="C13" s="3">
        <v>10</v>
      </c>
      <c r="D13" s="3">
        <v>480</v>
      </c>
      <c r="E13" s="2" t="s">
        <v>592</v>
      </c>
      <c r="F13" s="2">
        <f t="shared" si="3"/>
        <v>34</v>
      </c>
      <c r="G13" s="2" t="s">
        <v>207</v>
      </c>
      <c r="H13" s="3">
        <v>5</v>
      </c>
      <c r="I13" s="2">
        <f t="shared" si="1"/>
        <v>10</v>
      </c>
      <c r="J13" s="2" t="str">
        <f t="shared" si="2"/>
        <v>ok</v>
      </c>
    </row>
  </sheetData>
  <autoFilter ref="A1:J13" xr:uid="{00000000-0009-0000-0000-00000D000000}"/>
  <phoneticPr fontId="3" type="noConversion"/>
  <conditionalFormatting sqref="J2:J200">
    <cfRule type="expression" dxfId="11" priority="1">
      <formula>J2="套利"</formula>
    </cfRule>
    <cfRule type="expression" dxfId="10" priority="2">
      <formula>J2="ok"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F4E79"/>
  </sheetPr>
  <dimension ref="A1:G89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9" customWidth="1"/>
    <col min="2" max="2" width="22" customWidth="1"/>
    <col min="3" max="3" width="18" customWidth="1"/>
    <col min="4" max="7" width="14" customWidth="1"/>
  </cols>
  <sheetData>
    <row r="1" spans="1:7" ht="21.95" customHeight="1">
      <c r="A1" s="1" t="s">
        <v>539</v>
      </c>
      <c r="B1" s="1" t="s">
        <v>273</v>
      </c>
      <c r="C1" s="1" t="s">
        <v>48</v>
      </c>
      <c r="D1" s="1" t="s">
        <v>541</v>
      </c>
      <c r="E1" s="1" t="s">
        <v>542</v>
      </c>
      <c r="F1" s="1" t="s">
        <v>543</v>
      </c>
      <c r="G1" s="1" t="s">
        <v>593</v>
      </c>
    </row>
    <row r="2" spans="1:7" ht="16.5">
      <c r="A2" s="2" t="s">
        <v>594</v>
      </c>
      <c r="B2" s="2" t="s">
        <v>277</v>
      </c>
      <c r="C2" s="2" t="s">
        <v>188</v>
      </c>
      <c r="D2" s="3">
        <v>1</v>
      </c>
      <c r="E2" s="3">
        <v>3</v>
      </c>
      <c r="F2" s="3">
        <v>80</v>
      </c>
      <c r="G2" s="2" t="b">
        <v>1</v>
      </c>
    </row>
    <row r="3" spans="1:7" ht="16.5">
      <c r="A3" s="2" t="s">
        <v>594</v>
      </c>
      <c r="B3" s="2" t="s">
        <v>270</v>
      </c>
      <c r="C3" s="2" t="s">
        <v>258</v>
      </c>
      <c r="D3" s="3">
        <v>1</v>
      </c>
      <c r="E3" s="3">
        <v>2</v>
      </c>
      <c r="F3" s="3">
        <v>25</v>
      </c>
      <c r="G3" s="2" t="b">
        <v>0</v>
      </c>
    </row>
    <row r="4" spans="1:7" ht="16.5">
      <c r="A4" s="2" t="s">
        <v>595</v>
      </c>
      <c r="B4" s="2" t="s">
        <v>277</v>
      </c>
      <c r="C4" s="2" t="s">
        <v>191</v>
      </c>
      <c r="D4" s="3">
        <v>1</v>
      </c>
      <c r="E4" s="3">
        <v>3</v>
      </c>
      <c r="F4" s="3">
        <v>80</v>
      </c>
      <c r="G4" s="2" t="b">
        <v>1</v>
      </c>
    </row>
    <row r="5" spans="1:7" ht="16.5">
      <c r="A5" s="2" t="s">
        <v>595</v>
      </c>
      <c r="B5" s="2" t="s">
        <v>270</v>
      </c>
      <c r="C5" s="2" t="s">
        <v>258</v>
      </c>
      <c r="D5" s="3">
        <v>1</v>
      </c>
      <c r="E5" s="3">
        <v>2</v>
      </c>
      <c r="F5" s="3">
        <v>25</v>
      </c>
      <c r="G5" s="2" t="b">
        <v>0</v>
      </c>
    </row>
    <row r="6" spans="1:7" ht="16.5">
      <c r="A6" s="2" t="s">
        <v>596</v>
      </c>
      <c r="B6" s="2" t="s">
        <v>277</v>
      </c>
      <c r="C6" s="2" t="s">
        <v>188</v>
      </c>
      <c r="D6" s="3">
        <v>1</v>
      </c>
      <c r="E6" s="3">
        <v>3</v>
      </c>
      <c r="F6" s="3">
        <v>80</v>
      </c>
      <c r="G6" s="2" t="b">
        <v>1</v>
      </c>
    </row>
    <row r="7" spans="1:7" ht="16.5">
      <c r="A7" s="2" t="s">
        <v>596</v>
      </c>
      <c r="B7" s="2" t="s">
        <v>270</v>
      </c>
      <c r="C7" s="2" t="s">
        <v>258</v>
      </c>
      <c r="D7" s="3">
        <v>1</v>
      </c>
      <c r="E7" s="3">
        <v>2</v>
      </c>
      <c r="F7" s="3">
        <v>25</v>
      </c>
      <c r="G7" s="2" t="b">
        <v>0</v>
      </c>
    </row>
    <row r="8" spans="1:7" ht="16.5">
      <c r="A8" s="2" t="s">
        <v>597</v>
      </c>
      <c r="B8" s="2" t="s">
        <v>277</v>
      </c>
      <c r="C8" s="2" t="s">
        <v>191</v>
      </c>
      <c r="D8" s="3">
        <v>1</v>
      </c>
      <c r="E8" s="3">
        <v>3</v>
      </c>
      <c r="F8" s="3">
        <v>80</v>
      </c>
      <c r="G8" s="2" t="b">
        <v>1</v>
      </c>
    </row>
    <row r="9" spans="1:7" ht="16.5">
      <c r="A9" s="2" t="s">
        <v>597</v>
      </c>
      <c r="B9" s="2" t="s">
        <v>270</v>
      </c>
      <c r="C9" s="2" t="s">
        <v>258</v>
      </c>
      <c r="D9" s="3">
        <v>1</v>
      </c>
      <c r="E9" s="3">
        <v>2</v>
      </c>
      <c r="F9" s="3">
        <v>25</v>
      </c>
      <c r="G9" s="2" t="b">
        <v>0</v>
      </c>
    </row>
    <row r="10" spans="1:7" ht="16.5">
      <c r="A10" s="2" t="s">
        <v>598</v>
      </c>
      <c r="B10" s="2" t="s">
        <v>277</v>
      </c>
      <c r="C10" s="2" t="s">
        <v>195</v>
      </c>
      <c r="D10" s="3">
        <v>1</v>
      </c>
      <c r="E10" s="3">
        <v>3</v>
      </c>
      <c r="F10" s="3">
        <v>80</v>
      </c>
      <c r="G10" s="2" t="b">
        <v>1</v>
      </c>
    </row>
    <row r="11" spans="1:7" ht="16.5">
      <c r="A11" s="2" t="s">
        <v>598</v>
      </c>
      <c r="B11" s="2" t="s">
        <v>270</v>
      </c>
      <c r="C11" s="2" t="s">
        <v>258</v>
      </c>
      <c r="D11" s="3">
        <v>1</v>
      </c>
      <c r="E11" s="3">
        <v>2</v>
      </c>
      <c r="F11" s="3">
        <v>25</v>
      </c>
      <c r="G11" s="2" t="b">
        <v>0</v>
      </c>
    </row>
    <row r="12" spans="1:7" ht="16.5">
      <c r="A12" s="2" t="s">
        <v>599</v>
      </c>
      <c r="B12" s="2" t="s">
        <v>277</v>
      </c>
      <c r="C12" s="2" t="s">
        <v>197</v>
      </c>
      <c r="D12" s="3">
        <v>1</v>
      </c>
      <c r="E12" s="3">
        <v>3</v>
      </c>
      <c r="F12" s="3">
        <v>80</v>
      </c>
      <c r="G12" s="2" t="b">
        <v>1</v>
      </c>
    </row>
    <row r="13" spans="1:7" ht="16.5">
      <c r="A13" s="2" t="s">
        <v>599</v>
      </c>
      <c r="B13" s="2" t="s">
        <v>270</v>
      </c>
      <c r="C13" s="2" t="s">
        <v>258</v>
      </c>
      <c r="D13" s="3">
        <v>1</v>
      </c>
      <c r="E13" s="3">
        <v>2</v>
      </c>
      <c r="F13" s="3">
        <v>25</v>
      </c>
      <c r="G13" s="2" t="b">
        <v>0</v>
      </c>
    </row>
    <row r="14" spans="1:7" ht="16.5">
      <c r="A14" s="2" t="s">
        <v>600</v>
      </c>
      <c r="B14" s="2" t="s">
        <v>277</v>
      </c>
      <c r="C14" s="2" t="s">
        <v>195</v>
      </c>
      <c r="D14" s="3">
        <v>1</v>
      </c>
      <c r="E14" s="3">
        <v>3</v>
      </c>
      <c r="F14" s="3">
        <v>80</v>
      </c>
      <c r="G14" s="2" t="b">
        <v>1</v>
      </c>
    </row>
    <row r="15" spans="1:7" ht="16.5">
      <c r="A15" s="2" t="s">
        <v>600</v>
      </c>
      <c r="B15" s="2" t="s">
        <v>270</v>
      </c>
      <c r="C15" s="2" t="s">
        <v>258</v>
      </c>
      <c r="D15" s="3">
        <v>1</v>
      </c>
      <c r="E15" s="3">
        <v>2</v>
      </c>
      <c r="F15" s="3">
        <v>25</v>
      </c>
      <c r="G15" s="2" t="b">
        <v>0</v>
      </c>
    </row>
    <row r="16" spans="1:7" ht="16.5">
      <c r="A16" s="2" t="s">
        <v>601</v>
      </c>
      <c r="B16" s="2" t="s">
        <v>277</v>
      </c>
      <c r="C16" s="2" t="s">
        <v>197</v>
      </c>
      <c r="D16" s="3">
        <v>1</v>
      </c>
      <c r="E16" s="3">
        <v>3</v>
      </c>
      <c r="F16" s="3">
        <v>80</v>
      </c>
      <c r="G16" s="2" t="b">
        <v>1</v>
      </c>
    </row>
    <row r="17" spans="1:7" ht="16.5">
      <c r="A17" s="2" t="s">
        <v>601</v>
      </c>
      <c r="B17" s="2" t="s">
        <v>270</v>
      </c>
      <c r="C17" s="2" t="s">
        <v>258</v>
      </c>
      <c r="D17" s="3">
        <v>1</v>
      </c>
      <c r="E17" s="3">
        <v>2</v>
      </c>
      <c r="F17" s="3">
        <v>25</v>
      </c>
      <c r="G17" s="2" t="b">
        <v>0</v>
      </c>
    </row>
    <row r="18" spans="1:7" ht="16.5">
      <c r="A18" s="2" t="s">
        <v>602</v>
      </c>
      <c r="B18" s="2" t="s">
        <v>277</v>
      </c>
      <c r="C18" s="2" t="s">
        <v>201</v>
      </c>
      <c r="D18" s="3">
        <v>1</v>
      </c>
      <c r="E18" s="3">
        <v>3</v>
      </c>
      <c r="F18" s="3">
        <v>80</v>
      </c>
      <c r="G18" s="2" t="b">
        <v>1</v>
      </c>
    </row>
    <row r="19" spans="1:7" ht="16.5">
      <c r="A19" s="2" t="s">
        <v>602</v>
      </c>
      <c r="B19" s="2" t="s">
        <v>270</v>
      </c>
      <c r="C19" s="2" t="s">
        <v>258</v>
      </c>
      <c r="D19" s="3">
        <v>1</v>
      </c>
      <c r="E19" s="3">
        <v>2</v>
      </c>
      <c r="F19" s="3">
        <v>25</v>
      </c>
      <c r="G19" s="2" t="b">
        <v>0</v>
      </c>
    </row>
    <row r="20" spans="1:7" ht="16.5">
      <c r="A20" s="2" t="s">
        <v>603</v>
      </c>
      <c r="B20" s="2" t="s">
        <v>277</v>
      </c>
      <c r="C20" s="2" t="s">
        <v>203</v>
      </c>
      <c r="D20" s="3">
        <v>1</v>
      </c>
      <c r="E20" s="3">
        <v>3</v>
      </c>
      <c r="F20" s="3">
        <v>80</v>
      </c>
      <c r="G20" s="2" t="b">
        <v>1</v>
      </c>
    </row>
    <row r="21" spans="1:7" ht="16.5">
      <c r="A21" s="2" t="s">
        <v>603</v>
      </c>
      <c r="B21" s="2" t="s">
        <v>270</v>
      </c>
      <c r="C21" s="2" t="s">
        <v>258</v>
      </c>
      <c r="D21" s="3">
        <v>1</v>
      </c>
      <c r="E21" s="3">
        <v>2</v>
      </c>
      <c r="F21" s="3">
        <v>25</v>
      </c>
      <c r="G21" s="2" t="b">
        <v>0</v>
      </c>
    </row>
    <row r="22" spans="1:7" ht="16.5">
      <c r="A22" s="2" t="s">
        <v>604</v>
      </c>
      <c r="B22" s="2" t="s">
        <v>277</v>
      </c>
      <c r="C22" s="2" t="s">
        <v>201</v>
      </c>
      <c r="D22" s="3">
        <v>1</v>
      </c>
      <c r="E22" s="3">
        <v>3</v>
      </c>
      <c r="F22" s="3">
        <v>80</v>
      </c>
      <c r="G22" s="2" t="b">
        <v>1</v>
      </c>
    </row>
    <row r="23" spans="1:7" ht="16.5">
      <c r="A23" s="2" t="s">
        <v>604</v>
      </c>
      <c r="B23" s="2" t="s">
        <v>270</v>
      </c>
      <c r="C23" s="2" t="s">
        <v>258</v>
      </c>
      <c r="D23" s="3">
        <v>1</v>
      </c>
      <c r="E23" s="3">
        <v>2</v>
      </c>
      <c r="F23" s="3">
        <v>25</v>
      </c>
      <c r="G23" s="2" t="b">
        <v>0</v>
      </c>
    </row>
    <row r="24" spans="1:7" ht="16.5">
      <c r="A24" s="2" t="s">
        <v>605</v>
      </c>
      <c r="B24" s="2" t="s">
        <v>277</v>
      </c>
      <c r="C24" s="2" t="s">
        <v>203</v>
      </c>
      <c r="D24" s="3">
        <v>1</v>
      </c>
      <c r="E24" s="3">
        <v>3</v>
      </c>
      <c r="F24" s="3">
        <v>80</v>
      </c>
      <c r="G24" s="2" t="b">
        <v>1</v>
      </c>
    </row>
    <row r="25" spans="1:7" ht="16.5">
      <c r="A25" s="2" t="s">
        <v>605</v>
      </c>
      <c r="B25" s="2" t="s">
        <v>270</v>
      </c>
      <c r="C25" s="2" t="s">
        <v>258</v>
      </c>
      <c r="D25" s="3">
        <v>1</v>
      </c>
      <c r="E25" s="3">
        <v>2</v>
      </c>
      <c r="F25" s="3">
        <v>25</v>
      </c>
      <c r="G25" s="2" t="b">
        <v>0</v>
      </c>
    </row>
    <row r="26" spans="1:7" ht="16.5">
      <c r="A26" s="2" t="s">
        <v>594</v>
      </c>
      <c r="B26" s="2" t="s">
        <v>277</v>
      </c>
      <c r="C26" s="2" t="s">
        <v>221</v>
      </c>
      <c r="D26" s="3">
        <v>1</v>
      </c>
      <c r="E26" s="3">
        <v>1</v>
      </c>
      <c r="F26" s="3">
        <v>8</v>
      </c>
      <c r="G26" s="2" t="b">
        <v>0</v>
      </c>
    </row>
    <row r="27" spans="1:7" ht="16.5">
      <c r="A27" s="2" t="s">
        <v>596</v>
      </c>
      <c r="B27" s="2" t="s">
        <v>277</v>
      </c>
      <c r="C27" s="2" t="s">
        <v>217</v>
      </c>
      <c r="D27" s="3">
        <v>1</v>
      </c>
      <c r="E27" s="3">
        <v>1</v>
      </c>
      <c r="F27" s="3">
        <v>8</v>
      </c>
      <c r="G27" s="2" t="b">
        <v>0</v>
      </c>
    </row>
    <row r="28" spans="1:7" ht="16.5">
      <c r="A28" s="2" t="s">
        <v>598</v>
      </c>
      <c r="B28" s="2" t="s">
        <v>277</v>
      </c>
      <c r="C28" s="2" t="s">
        <v>213</v>
      </c>
      <c r="D28" s="3">
        <v>1</v>
      </c>
      <c r="E28" s="3">
        <v>1</v>
      </c>
      <c r="F28" s="3">
        <v>8</v>
      </c>
      <c r="G28" s="2" t="b">
        <v>0</v>
      </c>
    </row>
    <row r="29" spans="1:7" ht="16.5">
      <c r="A29" s="2" t="s">
        <v>600</v>
      </c>
      <c r="B29" s="2" t="s">
        <v>277</v>
      </c>
      <c r="C29" s="2" t="s">
        <v>219</v>
      </c>
      <c r="D29" s="3">
        <v>1</v>
      </c>
      <c r="E29" s="3">
        <v>1</v>
      </c>
      <c r="F29" s="3">
        <v>8</v>
      </c>
      <c r="G29" s="2" t="b">
        <v>0</v>
      </c>
    </row>
    <row r="30" spans="1:7" ht="16.5">
      <c r="A30" s="2" t="s">
        <v>602</v>
      </c>
      <c r="B30" s="2" t="s">
        <v>277</v>
      </c>
      <c r="C30" s="2" t="s">
        <v>223</v>
      </c>
      <c r="D30" s="3">
        <v>1</v>
      </c>
      <c r="E30" s="3">
        <v>1</v>
      </c>
      <c r="F30" s="3">
        <v>8</v>
      </c>
      <c r="G30" s="2" t="b">
        <v>0</v>
      </c>
    </row>
    <row r="31" spans="1:7" ht="16.5">
      <c r="A31" s="2" t="s">
        <v>595</v>
      </c>
      <c r="B31" s="2" t="s">
        <v>277</v>
      </c>
      <c r="C31" s="2" t="s">
        <v>193</v>
      </c>
      <c r="D31" s="3">
        <v>1</v>
      </c>
      <c r="E31" s="3">
        <v>1</v>
      </c>
      <c r="F31" s="3">
        <v>5</v>
      </c>
      <c r="G31" s="2" t="b">
        <v>0</v>
      </c>
    </row>
    <row r="32" spans="1:7" ht="16.5">
      <c r="A32" s="2" t="s">
        <v>599</v>
      </c>
      <c r="B32" s="2" t="s">
        <v>277</v>
      </c>
      <c r="C32" s="2" t="s">
        <v>209</v>
      </c>
      <c r="D32" s="3">
        <v>1</v>
      </c>
      <c r="E32" s="3">
        <v>1</v>
      </c>
      <c r="F32" s="3">
        <v>5</v>
      </c>
      <c r="G32" s="2" t="b">
        <v>0</v>
      </c>
    </row>
    <row r="33" spans="1:7" ht="16.5">
      <c r="A33" s="2" t="s">
        <v>600</v>
      </c>
      <c r="B33" s="2" t="s">
        <v>277</v>
      </c>
      <c r="C33" s="2" t="s">
        <v>199</v>
      </c>
      <c r="D33" s="3">
        <v>1</v>
      </c>
      <c r="E33" s="3">
        <v>1</v>
      </c>
      <c r="F33" s="3">
        <v>5</v>
      </c>
      <c r="G33" s="2" t="b">
        <v>0</v>
      </c>
    </row>
    <row r="34" spans="1:7" ht="16.5">
      <c r="A34" s="2" t="s">
        <v>603</v>
      </c>
      <c r="B34" s="2" t="s">
        <v>277</v>
      </c>
      <c r="C34" s="2" t="s">
        <v>205</v>
      </c>
      <c r="D34" s="3">
        <v>1</v>
      </c>
      <c r="E34" s="3">
        <v>1</v>
      </c>
      <c r="F34" s="3">
        <v>5</v>
      </c>
      <c r="G34" s="2" t="b">
        <v>0</v>
      </c>
    </row>
    <row r="35" spans="1:7" ht="16.5">
      <c r="A35" s="2" t="s">
        <v>597</v>
      </c>
      <c r="B35" s="2" t="s">
        <v>277</v>
      </c>
      <c r="C35" s="2" t="s">
        <v>240</v>
      </c>
      <c r="D35" s="3">
        <v>1</v>
      </c>
      <c r="E35" s="3">
        <v>1</v>
      </c>
      <c r="F35" s="3">
        <v>5</v>
      </c>
      <c r="G35" s="2" t="b">
        <v>0</v>
      </c>
    </row>
    <row r="36" spans="1:7" ht="16.5">
      <c r="A36" s="2" t="s">
        <v>601</v>
      </c>
      <c r="B36" s="2" t="s">
        <v>277</v>
      </c>
      <c r="C36" s="2" t="s">
        <v>243</v>
      </c>
      <c r="D36" s="3">
        <v>1</v>
      </c>
      <c r="E36" s="3">
        <v>1</v>
      </c>
      <c r="F36" s="3">
        <v>5</v>
      </c>
      <c r="G36" s="2" t="b">
        <v>0</v>
      </c>
    </row>
    <row r="37" spans="1:7" ht="16.5">
      <c r="A37" s="2" t="s">
        <v>605</v>
      </c>
      <c r="B37" s="2" t="s">
        <v>277</v>
      </c>
      <c r="C37" s="2" t="s">
        <v>245</v>
      </c>
      <c r="D37" s="3">
        <v>1</v>
      </c>
      <c r="E37" s="3">
        <v>1</v>
      </c>
      <c r="F37" s="3">
        <v>5</v>
      </c>
      <c r="G37" s="2" t="b">
        <v>0</v>
      </c>
    </row>
    <row r="38" spans="1:7" ht="16.5">
      <c r="A38" s="2" t="s">
        <v>596</v>
      </c>
      <c r="B38" s="2" t="s">
        <v>277</v>
      </c>
      <c r="C38" s="2" t="s">
        <v>238</v>
      </c>
      <c r="D38" s="3">
        <v>1</v>
      </c>
      <c r="E38" s="3">
        <v>1</v>
      </c>
      <c r="F38" s="3">
        <v>5</v>
      </c>
      <c r="G38" s="2" t="b">
        <v>0</v>
      </c>
    </row>
    <row r="39" spans="1:7" ht="16.5">
      <c r="A39" s="2" t="s">
        <v>606</v>
      </c>
      <c r="B39" s="2" t="s">
        <v>277</v>
      </c>
      <c r="C39" s="2" t="s">
        <v>225</v>
      </c>
      <c r="D39" s="3">
        <v>1</v>
      </c>
      <c r="E39" s="3">
        <v>1</v>
      </c>
      <c r="F39" s="3">
        <v>1</v>
      </c>
      <c r="G39" s="2" t="b">
        <v>1</v>
      </c>
    </row>
    <row r="40" spans="1:7" ht="16.5">
      <c r="A40" s="2" t="s">
        <v>607</v>
      </c>
      <c r="B40" s="2" t="s">
        <v>277</v>
      </c>
      <c r="C40" s="2" t="s">
        <v>229</v>
      </c>
      <c r="D40" s="3">
        <v>1</v>
      </c>
      <c r="E40" s="3">
        <v>1</v>
      </c>
      <c r="F40" s="3">
        <v>1</v>
      </c>
      <c r="G40" s="2" t="b">
        <v>1</v>
      </c>
    </row>
    <row r="41" spans="1:7" ht="16.5">
      <c r="A41" s="2" t="s">
        <v>608</v>
      </c>
      <c r="B41" s="2" t="s">
        <v>277</v>
      </c>
      <c r="C41" s="2" t="s">
        <v>231</v>
      </c>
      <c r="D41" s="3">
        <v>1</v>
      </c>
      <c r="E41" s="3">
        <v>1</v>
      </c>
      <c r="F41" s="3">
        <v>1</v>
      </c>
      <c r="G41" s="2" t="b">
        <v>1</v>
      </c>
    </row>
    <row r="42" spans="1:7" ht="16.5">
      <c r="A42" s="2" t="s">
        <v>594</v>
      </c>
      <c r="B42" s="2" t="s">
        <v>577</v>
      </c>
      <c r="C42" s="2" t="s">
        <v>469</v>
      </c>
      <c r="D42" s="3">
        <v>1</v>
      </c>
      <c r="E42" s="3">
        <v>1</v>
      </c>
      <c r="F42" s="3">
        <v>1</v>
      </c>
      <c r="G42" s="2" t="b">
        <v>0</v>
      </c>
    </row>
    <row r="43" spans="1:7" ht="16.5">
      <c r="A43" s="2" t="s">
        <v>594</v>
      </c>
      <c r="B43" s="2" t="s">
        <v>577</v>
      </c>
      <c r="C43" s="2" t="s">
        <v>473</v>
      </c>
      <c r="D43" s="3">
        <v>1</v>
      </c>
      <c r="E43" s="3">
        <v>1</v>
      </c>
      <c r="F43" s="3">
        <v>1</v>
      </c>
      <c r="G43" s="2" t="b">
        <v>0</v>
      </c>
    </row>
    <row r="44" spans="1:7" ht="16.5">
      <c r="A44" s="2" t="s">
        <v>594</v>
      </c>
      <c r="B44" s="2" t="s">
        <v>577</v>
      </c>
      <c r="C44" s="2" t="s">
        <v>477</v>
      </c>
      <c r="D44" s="3">
        <v>1</v>
      </c>
      <c r="E44" s="3">
        <v>1</v>
      </c>
      <c r="F44" s="3">
        <v>1</v>
      </c>
      <c r="G44" s="2" t="b">
        <v>0</v>
      </c>
    </row>
    <row r="45" spans="1:7" ht="16.5">
      <c r="A45" s="2" t="s">
        <v>595</v>
      </c>
      <c r="B45" s="2" t="s">
        <v>577</v>
      </c>
      <c r="C45" s="2" t="s">
        <v>477</v>
      </c>
      <c r="D45" s="3">
        <v>1</v>
      </c>
      <c r="E45" s="3">
        <v>1</v>
      </c>
      <c r="F45" s="3">
        <v>1</v>
      </c>
      <c r="G45" s="2" t="b">
        <v>0</v>
      </c>
    </row>
    <row r="46" spans="1:7" ht="16.5">
      <c r="A46" s="2" t="s">
        <v>595</v>
      </c>
      <c r="B46" s="2" t="s">
        <v>577</v>
      </c>
      <c r="C46" s="2" t="s">
        <v>481</v>
      </c>
      <c r="D46" s="3">
        <v>1</v>
      </c>
      <c r="E46" s="3">
        <v>1</v>
      </c>
      <c r="F46" s="3">
        <v>1</v>
      </c>
      <c r="G46" s="2" t="b">
        <v>0</v>
      </c>
    </row>
    <row r="47" spans="1:7" ht="16.5">
      <c r="A47" s="2" t="s">
        <v>595</v>
      </c>
      <c r="B47" s="2" t="s">
        <v>577</v>
      </c>
      <c r="C47" s="2" t="s">
        <v>484</v>
      </c>
      <c r="D47" s="3">
        <v>1</v>
      </c>
      <c r="E47" s="3">
        <v>1</v>
      </c>
      <c r="F47" s="3">
        <v>1</v>
      </c>
      <c r="G47" s="2" t="b">
        <v>0</v>
      </c>
    </row>
    <row r="48" spans="1:7" ht="16.5">
      <c r="A48" s="2" t="s">
        <v>596</v>
      </c>
      <c r="B48" s="2" t="s">
        <v>577</v>
      </c>
      <c r="C48" s="2" t="s">
        <v>484</v>
      </c>
      <c r="D48" s="3">
        <v>1</v>
      </c>
      <c r="E48" s="3">
        <v>1</v>
      </c>
      <c r="F48" s="3">
        <v>1</v>
      </c>
      <c r="G48" s="2" t="b">
        <v>0</v>
      </c>
    </row>
    <row r="49" spans="1:7" ht="16.5">
      <c r="A49" s="2" t="s">
        <v>596</v>
      </c>
      <c r="B49" s="2" t="s">
        <v>577</v>
      </c>
      <c r="C49" s="2" t="s">
        <v>487</v>
      </c>
      <c r="D49" s="3">
        <v>1</v>
      </c>
      <c r="E49" s="3">
        <v>1</v>
      </c>
      <c r="F49" s="3">
        <v>1</v>
      </c>
      <c r="G49" s="2" t="b">
        <v>0</v>
      </c>
    </row>
    <row r="50" spans="1:7" ht="16.5">
      <c r="A50" s="2" t="s">
        <v>596</v>
      </c>
      <c r="B50" s="2" t="s">
        <v>577</v>
      </c>
      <c r="C50" s="2" t="s">
        <v>490</v>
      </c>
      <c r="D50" s="3">
        <v>1</v>
      </c>
      <c r="E50" s="3">
        <v>1</v>
      </c>
      <c r="F50" s="3">
        <v>1</v>
      </c>
      <c r="G50" s="2" t="b">
        <v>0</v>
      </c>
    </row>
    <row r="51" spans="1:7" ht="16.5">
      <c r="A51" s="2" t="s">
        <v>597</v>
      </c>
      <c r="B51" s="2" t="s">
        <v>577</v>
      </c>
      <c r="C51" s="2" t="s">
        <v>490</v>
      </c>
      <c r="D51" s="3">
        <v>1</v>
      </c>
      <c r="E51" s="3">
        <v>1</v>
      </c>
      <c r="F51" s="3">
        <v>1</v>
      </c>
      <c r="G51" s="2" t="b">
        <v>0</v>
      </c>
    </row>
    <row r="52" spans="1:7" ht="16.5">
      <c r="A52" s="2" t="s">
        <v>597</v>
      </c>
      <c r="B52" s="2" t="s">
        <v>577</v>
      </c>
      <c r="C52" s="2" t="s">
        <v>492</v>
      </c>
      <c r="D52" s="3">
        <v>1</v>
      </c>
      <c r="E52" s="3">
        <v>1</v>
      </c>
      <c r="F52" s="3">
        <v>1</v>
      </c>
      <c r="G52" s="2" t="b">
        <v>0</v>
      </c>
    </row>
    <row r="53" spans="1:7" ht="16.5">
      <c r="A53" s="2" t="s">
        <v>597</v>
      </c>
      <c r="B53" s="2" t="s">
        <v>577</v>
      </c>
      <c r="C53" s="2" t="s">
        <v>494</v>
      </c>
      <c r="D53" s="3">
        <v>1</v>
      </c>
      <c r="E53" s="3">
        <v>1</v>
      </c>
      <c r="F53" s="3">
        <v>1</v>
      </c>
      <c r="G53" s="2" t="b">
        <v>0</v>
      </c>
    </row>
    <row r="54" spans="1:7" ht="16.5">
      <c r="A54" s="2" t="s">
        <v>598</v>
      </c>
      <c r="B54" s="2" t="s">
        <v>577</v>
      </c>
      <c r="C54" s="2" t="s">
        <v>494</v>
      </c>
      <c r="D54" s="3">
        <v>1</v>
      </c>
      <c r="E54" s="3">
        <v>1</v>
      </c>
      <c r="F54" s="3">
        <v>2</v>
      </c>
      <c r="G54" s="2" t="b">
        <v>0</v>
      </c>
    </row>
    <row r="55" spans="1:7" ht="16.5">
      <c r="A55" s="2" t="s">
        <v>598</v>
      </c>
      <c r="B55" s="2" t="s">
        <v>577</v>
      </c>
      <c r="C55" s="2" t="s">
        <v>496</v>
      </c>
      <c r="D55" s="3">
        <v>1</v>
      </c>
      <c r="E55" s="3">
        <v>1</v>
      </c>
      <c r="F55" s="3">
        <v>2</v>
      </c>
      <c r="G55" s="2" t="b">
        <v>0</v>
      </c>
    </row>
    <row r="56" spans="1:7" ht="16.5">
      <c r="A56" s="2" t="s">
        <v>598</v>
      </c>
      <c r="B56" s="2" t="s">
        <v>577</v>
      </c>
      <c r="C56" s="2" t="s">
        <v>498</v>
      </c>
      <c r="D56" s="3">
        <v>1</v>
      </c>
      <c r="E56" s="3">
        <v>1</v>
      </c>
      <c r="F56" s="3">
        <v>2</v>
      </c>
      <c r="G56" s="2" t="b">
        <v>0</v>
      </c>
    </row>
    <row r="57" spans="1:7" ht="16.5">
      <c r="A57" s="2" t="s">
        <v>599</v>
      </c>
      <c r="B57" s="2" t="s">
        <v>577</v>
      </c>
      <c r="C57" s="2" t="s">
        <v>498</v>
      </c>
      <c r="D57" s="3">
        <v>1</v>
      </c>
      <c r="E57" s="3">
        <v>1</v>
      </c>
      <c r="F57" s="3">
        <v>2</v>
      </c>
      <c r="G57" s="2" t="b">
        <v>0</v>
      </c>
    </row>
    <row r="58" spans="1:7" ht="16.5">
      <c r="A58" s="2" t="s">
        <v>599</v>
      </c>
      <c r="B58" s="2" t="s">
        <v>577</v>
      </c>
      <c r="C58" s="2" t="s">
        <v>500</v>
      </c>
      <c r="D58" s="3">
        <v>1</v>
      </c>
      <c r="E58" s="3">
        <v>1</v>
      </c>
      <c r="F58" s="3">
        <v>2</v>
      </c>
      <c r="G58" s="2" t="b">
        <v>0</v>
      </c>
    </row>
    <row r="59" spans="1:7" ht="16.5">
      <c r="A59" s="2" t="s">
        <v>599</v>
      </c>
      <c r="B59" s="2" t="s">
        <v>577</v>
      </c>
      <c r="C59" s="2" t="s">
        <v>502</v>
      </c>
      <c r="D59" s="3">
        <v>1</v>
      </c>
      <c r="E59" s="3">
        <v>1</v>
      </c>
      <c r="F59" s="3">
        <v>2</v>
      </c>
      <c r="G59" s="2" t="b">
        <v>0</v>
      </c>
    </row>
    <row r="60" spans="1:7" ht="16.5">
      <c r="A60" s="2" t="s">
        <v>600</v>
      </c>
      <c r="B60" s="2" t="s">
        <v>577</v>
      </c>
      <c r="C60" s="2" t="s">
        <v>502</v>
      </c>
      <c r="D60" s="3">
        <v>1</v>
      </c>
      <c r="E60" s="3">
        <v>1</v>
      </c>
      <c r="F60" s="3">
        <v>2</v>
      </c>
      <c r="G60" s="2" t="b">
        <v>0</v>
      </c>
    </row>
    <row r="61" spans="1:7" ht="16.5">
      <c r="A61" s="2" t="s">
        <v>600</v>
      </c>
      <c r="B61" s="2" t="s">
        <v>577</v>
      </c>
      <c r="C61" s="2" t="s">
        <v>504</v>
      </c>
      <c r="D61" s="3">
        <v>1</v>
      </c>
      <c r="E61" s="3">
        <v>1</v>
      </c>
      <c r="F61" s="3">
        <v>2</v>
      </c>
      <c r="G61" s="2" t="b">
        <v>0</v>
      </c>
    </row>
    <row r="62" spans="1:7" ht="16.5">
      <c r="A62" s="2" t="s">
        <v>600</v>
      </c>
      <c r="B62" s="2" t="s">
        <v>577</v>
      </c>
      <c r="C62" s="2" t="s">
        <v>506</v>
      </c>
      <c r="D62" s="3">
        <v>1</v>
      </c>
      <c r="E62" s="3">
        <v>1</v>
      </c>
      <c r="F62" s="3">
        <v>2</v>
      </c>
      <c r="G62" s="2" t="b">
        <v>0</v>
      </c>
    </row>
    <row r="63" spans="1:7" ht="16.5">
      <c r="A63" s="2" t="s">
        <v>601</v>
      </c>
      <c r="B63" s="2" t="s">
        <v>577</v>
      </c>
      <c r="C63" s="2" t="s">
        <v>506</v>
      </c>
      <c r="D63" s="3">
        <v>1</v>
      </c>
      <c r="E63" s="3">
        <v>1</v>
      </c>
      <c r="F63" s="3">
        <v>2</v>
      </c>
      <c r="G63" s="2" t="b">
        <v>0</v>
      </c>
    </row>
    <row r="64" spans="1:7" ht="16.5">
      <c r="A64" s="2" t="s">
        <v>601</v>
      </c>
      <c r="B64" s="2" t="s">
        <v>577</v>
      </c>
      <c r="C64" s="2" t="s">
        <v>508</v>
      </c>
      <c r="D64" s="3">
        <v>1</v>
      </c>
      <c r="E64" s="3">
        <v>1</v>
      </c>
      <c r="F64" s="3">
        <v>2</v>
      </c>
      <c r="G64" s="2" t="b">
        <v>0</v>
      </c>
    </row>
    <row r="65" spans="1:7" ht="16.5">
      <c r="A65" s="2" t="s">
        <v>601</v>
      </c>
      <c r="B65" s="2" t="s">
        <v>577</v>
      </c>
      <c r="C65" s="2" t="s">
        <v>510</v>
      </c>
      <c r="D65" s="3">
        <v>1</v>
      </c>
      <c r="E65" s="3">
        <v>1</v>
      </c>
      <c r="F65" s="3">
        <v>2</v>
      </c>
      <c r="G65" s="2" t="b">
        <v>0</v>
      </c>
    </row>
    <row r="66" spans="1:7" ht="16.5">
      <c r="A66" s="2" t="s">
        <v>602</v>
      </c>
      <c r="B66" s="2" t="s">
        <v>577</v>
      </c>
      <c r="C66" s="2" t="s">
        <v>510</v>
      </c>
      <c r="D66" s="3">
        <v>1</v>
      </c>
      <c r="E66" s="3">
        <v>1</v>
      </c>
      <c r="F66" s="3">
        <v>1</v>
      </c>
      <c r="G66" s="2" t="b">
        <v>0</v>
      </c>
    </row>
    <row r="67" spans="1:7" ht="16.5">
      <c r="A67" s="2" t="s">
        <v>602</v>
      </c>
      <c r="B67" s="2" t="s">
        <v>577</v>
      </c>
      <c r="C67" s="2" t="s">
        <v>512</v>
      </c>
      <c r="D67" s="3">
        <v>1</v>
      </c>
      <c r="E67" s="3">
        <v>1</v>
      </c>
      <c r="F67" s="3">
        <v>1</v>
      </c>
      <c r="G67" s="2" t="b">
        <v>0</v>
      </c>
    </row>
    <row r="68" spans="1:7" ht="16.5">
      <c r="A68" s="2" t="s">
        <v>602</v>
      </c>
      <c r="B68" s="2" t="s">
        <v>577</v>
      </c>
      <c r="C68" s="2" t="s">
        <v>512</v>
      </c>
      <c r="D68" s="3">
        <v>1</v>
      </c>
      <c r="E68" s="3">
        <v>1</v>
      </c>
      <c r="F68" s="3">
        <v>1</v>
      </c>
      <c r="G68" s="2" t="b">
        <v>0</v>
      </c>
    </row>
    <row r="69" spans="1:7" ht="16.5">
      <c r="A69" s="2" t="s">
        <v>603</v>
      </c>
      <c r="B69" s="2" t="s">
        <v>577</v>
      </c>
      <c r="C69" s="2" t="s">
        <v>512</v>
      </c>
      <c r="D69" s="3">
        <v>1</v>
      </c>
      <c r="E69" s="3">
        <v>1</v>
      </c>
      <c r="F69" s="3">
        <v>1</v>
      </c>
      <c r="G69" s="2" t="b">
        <v>0</v>
      </c>
    </row>
    <row r="70" spans="1:7" ht="16.5">
      <c r="A70" s="2" t="s">
        <v>603</v>
      </c>
      <c r="B70" s="2" t="s">
        <v>577</v>
      </c>
      <c r="C70" s="2" t="s">
        <v>512</v>
      </c>
      <c r="D70" s="3">
        <v>1</v>
      </c>
      <c r="E70" s="3">
        <v>1</v>
      </c>
      <c r="F70" s="3">
        <v>1</v>
      </c>
      <c r="G70" s="2" t="b">
        <v>0</v>
      </c>
    </row>
    <row r="71" spans="1:7" ht="16.5">
      <c r="A71" s="2" t="s">
        <v>603</v>
      </c>
      <c r="B71" s="2" t="s">
        <v>577</v>
      </c>
      <c r="C71" s="2" t="s">
        <v>512</v>
      </c>
      <c r="D71" s="3">
        <v>1</v>
      </c>
      <c r="E71" s="3">
        <v>1</v>
      </c>
      <c r="F71" s="3">
        <v>1</v>
      </c>
      <c r="G71" s="2" t="b">
        <v>0</v>
      </c>
    </row>
    <row r="72" spans="1:7" ht="16.5">
      <c r="A72" s="2" t="s">
        <v>604</v>
      </c>
      <c r="B72" s="2" t="s">
        <v>577</v>
      </c>
      <c r="C72" s="2" t="s">
        <v>512</v>
      </c>
      <c r="D72" s="3">
        <v>1</v>
      </c>
      <c r="E72" s="3">
        <v>1</v>
      </c>
      <c r="F72" s="3">
        <v>1</v>
      </c>
      <c r="G72" s="2" t="b">
        <v>0</v>
      </c>
    </row>
    <row r="73" spans="1:7" ht="16.5">
      <c r="A73" s="2" t="s">
        <v>604</v>
      </c>
      <c r="B73" s="2" t="s">
        <v>577</v>
      </c>
      <c r="C73" s="2" t="s">
        <v>512</v>
      </c>
      <c r="D73" s="3">
        <v>1</v>
      </c>
      <c r="E73" s="3">
        <v>1</v>
      </c>
      <c r="F73" s="3">
        <v>1</v>
      </c>
      <c r="G73" s="2" t="b">
        <v>0</v>
      </c>
    </row>
    <row r="74" spans="1:7" ht="16.5">
      <c r="A74" s="2" t="s">
        <v>604</v>
      </c>
      <c r="B74" s="2" t="s">
        <v>577</v>
      </c>
      <c r="C74" s="2" t="s">
        <v>512</v>
      </c>
      <c r="D74" s="3">
        <v>1</v>
      </c>
      <c r="E74" s="3">
        <v>1</v>
      </c>
      <c r="F74" s="3">
        <v>1</v>
      </c>
      <c r="G74" s="2" t="b">
        <v>0</v>
      </c>
    </row>
    <row r="75" spans="1:7" ht="16.5">
      <c r="A75" s="2" t="s">
        <v>605</v>
      </c>
      <c r="B75" s="2" t="s">
        <v>577</v>
      </c>
      <c r="C75" s="2" t="s">
        <v>512</v>
      </c>
      <c r="D75" s="3">
        <v>1</v>
      </c>
      <c r="E75" s="3">
        <v>1</v>
      </c>
      <c r="F75" s="3">
        <v>1</v>
      </c>
      <c r="G75" s="2" t="b">
        <v>0</v>
      </c>
    </row>
    <row r="76" spans="1:7" ht="16.5">
      <c r="A76" s="2" t="s">
        <v>605</v>
      </c>
      <c r="B76" s="2" t="s">
        <v>577</v>
      </c>
      <c r="C76" s="2" t="s">
        <v>512</v>
      </c>
      <c r="D76" s="3">
        <v>1</v>
      </c>
      <c r="E76" s="3">
        <v>1</v>
      </c>
      <c r="F76" s="3">
        <v>1</v>
      </c>
      <c r="G76" s="2" t="b">
        <v>0</v>
      </c>
    </row>
    <row r="77" spans="1:7" ht="16.5">
      <c r="A77" s="2" t="s">
        <v>605</v>
      </c>
      <c r="B77" s="2" t="s">
        <v>577</v>
      </c>
      <c r="C77" s="2" t="s">
        <v>512</v>
      </c>
      <c r="D77" s="3">
        <v>1</v>
      </c>
      <c r="E77" s="3">
        <v>1</v>
      </c>
      <c r="F77" s="3">
        <v>1</v>
      </c>
      <c r="G77" s="2" t="b">
        <v>0</v>
      </c>
    </row>
    <row r="78" spans="1:7" ht="16.5">
      <c r="A78" s="2" t="s">
        <v>600</v>
      </c>
      <c r="B78" s="2" t="s">
        <v>609</v>
      </c>
      <c r="C78" s="2" t="s">
        <v>514</v>
      </c>
      <c r="D78" s="3">
        <v>5</v>
      </c>
      <c r="E78" s="3">
        <v>6</v>
      </c>
      <c r="F78" s="3">
        <v>12</v>
      </c>
      <c r="G78" s="2" t="b">
        <v>0</v>
      </c>
    </row>
    <row r="79" spans="1:7" ht="16.5">
      <c r="A79" s="2" t="s">
        <v>600</v>
      </c>
      <c r="B79" s="2" t="s">
        <v>609</v>
      </c>
      <c r="C79" s="2" t="s">
        <v>516</v>
      </c>
      <c r="D79" s="3">
        <v>5</v>
      </c>
      <c r="E79" s="3">
        <v>6</v>
      </c>
      <c r="F79" s="3">
        <v>12</v>
      </c>
      <c r="G79" s="2" t="b">
        <v>0</v>
      </c>
    </row>
    <row r="80" spans="1:7" ht="16.5">
      <c r="A80" s="2" t="s">
        <v>601</v>
      </c>
      <c r="B80" s="2" t="s">
        <v>609</v>
      </c>
      <c r="C80" s="2" t="s">
        <v>518</v>
      </c>
      <c r="D80" s="3">
        <v>5</v>
      </c>
      <c r="E80" s="3">
        <v>6</v>
      </c>
      <c r="F80" s="3">
        <v>12</v>
      </c>
      <c r="G80" s="2" t="b">
        <v>0</v>
      </c>
    </row>
    <row r="81" spans="1:7" ht="16.5">
      <c r="A81" s="2" t="s">
        <v>601</v>
      </c>
      <c r="B81" s="2" t="s">
        <v>609</v>
      </c>
      <c r="C81" s="2" t="s">
        <v>520</v>
      </c>
      <c r="D81" s="3">
        <v>5</v>
      </c>
      <c r="E81" s="3">
        <v>6</v>
      </c>
      <c r="F81" s="3">
        <v>12</v>
      </c>
      <c r="G81" s="2" t="b">
        <v>0</v>
      </c>
    </row>
    <row r="82" spans="1:7" ht="16.5">
      <c r="A82" s="2" t="s">
        <v>602</v>
      </c>
      <c r="B82" s="2" t="s">
        <v>609</v>
      </c>
      <c r="C82" s="2" t="s">
        <v>522</v>
      </c>
      <c r="D82" s="3">
        <v>5</v>
      </c>
      <c r="E82" s="3">
        <v>6</v>
      </c>
      <c r="F82" s="3">
        <v>12</v>
      </c>
      <c r="G82" s="2" t="b">
        <v>0</v>
      </c>
    </row>
    <row r="83" spans="1:7" ht="16.5">
      <c r="A83" s="2" t="s">
        <v>602</v>
      </c>
      <c r="B83" s="2" t="s">
        <v>609</v>
      </c>
      <c r="C83" s="2" t="s">
        <v>524</v>
      </c>
      <c r="D83" s="3">
        <v>5</v>
      </c>
      <c r="E83" s="3">
        <v>6</v>
      </c>
      <c r="F83" s="3">
        <v>12</v>
      </c>
      <c r="G83" s="2" t="b">
        <v>0</v>
      </c>
    </row>
    <row r="84" spans="1:7" ht="16.5">
      <c r="A84" s="2" t="s">
        <v>603</v>
      </c>
      <c r="B84" s="2" t="s">
        <v>609</v>
      </c>
      <c r="C84" s="2" t="s">
        <v>526</v>
      </c>
      <c r="D84" s="3">
        <v>5</v>
      </c>
      <c r="E84" s="3">
        <v>6</v>
      </c>
      <c r="F84" s="3">
        <v>12</v>
      </c>
      <c r="G84" s="2" t="b">
        <v>0</v>
      </c>
    </row>
    <row r="85" spans="1:7" ht="16.5">
      <c r="A85" s="2" t="s">
        <v>603</v>
      </c>
      <c r="B85" s="2" t="s">
        <v>609</v>
      </c>
      <c r="C85" s="2" t="s">
        <v>529</v>
      </c>
      <c r="D85" s="3">
        <v>5</v>
      </c>
      <c r="E85" s="3">
        <v>6</v>
      </c>
      <c r="F85" s="3">
        <v>12</v>
      </c>
      <c r="G85" s="2" t="b">
        <v>0</v>
      </c>
    </row>
    <row r="86" spans="1:7" ht="16.5">
      <c r="A86" s="2" t="s">
        <v>604</v>
      </c>
      <c r="B86" s="2" t="s">
        <v>609</v>
      </c>
      <c r="C86" s="2" t="s">
        <v>531</v>
      </c>
      <c r="D86" s="3">
        <v>5</v>
      </c>
      <c r="E86" s="3">
        <v>6</v>
      </c>
      <c r="F86" s="3">
        <v>12</v>
      </c>
      <c r="G86" s="2" t="b">
        <v>0</v>
      </c>
    </row>
    <row r="87" spans="1:7" ht="16.5">
      <c r="A87" s="2" t="s">
        <v>604</v>
      </c>
      <c r="B87" s="2" t="s">
        <v>609</v>
      </c>
      <c r="C87" s="2" t="s">
        <v>533</v>
      </c>
      <c r="D87" s="3">
        <v>5</v>
      </c>
      <c r="E87" s="3">
        <v>6</v>
      </c>
      <c r="F87" s="3">
        <v>12</v>
      </c>
      <c r="G87" s="2" t="b">
        <v>0</v>
      </c>
    </row>
    <row r="88" spans="1:7" ht="16.5">
      <c r="A88" s="2" t="s">
        <v>605</v>
      </c>
      <c r="B88" s="2" t="s">
        <v>609</v>
      </c>
      <c r="C88" s="2" t="s">
        <v>535</v>
      </c>
      <c r="D88" s="3">
        <v>5</v>
      </c>
      <c r="E88" s="3">
        <v>6</v>
      </c>
      <c r="F88" s="3">
        <v>12</v>
      </c>
      <c r="G88" s="2" t="b">
        <v>0</v>
      </c>
    </row>
    <row r="89" spans="1:7" ht="16.5">
      <c r="A89" s="2" t="s">
        <v>605</v>
      </c>
      <c r="B89" s="2" t="s">
        <v>609</v>
      </c>
      <c r="C89" s="2" t="s">
        <v>537</v>
      </c>
      <c r="D89" s="3">
        <v>5</v>
      </c>
      <c r="E89" s="3">
        <v>6</v>
      </c>
      <c r="F89" s="3">
        <v>12</v>
      </c>
      <c r="G89" s="2" t="b">
        <v>0</v>
      </c>
    </row>
  </sheetData>
  <autoFilter ref="A1:G89" xr:uid="{00000000-0009-0000-0000-00000E000000}"/>
  <phoneticPr fontId="3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1F4E79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6" customWidth="1"/>
    <col min="2" max="2" width="18" customWidth="1"/>
    <col min="3" max="3" width="16" customWidth="1"/>
    <col min="4" max="5" width="29" customWidth="1"/>
    <col min="6" max="6" width="14" customWidth="1"/>
  </cols>
  <sheetData>
    <row r="1" spans="1:6" ht="21.95" customHeight="1">
      <c r="A1" s="1" t="s">
        <v>48</v>
      </c>
      <c r="B1" s="1" t="s">
        <v>49</v>
      </c>
      <c r="C1" s="1" t="s">
        <v>610</v>
      </c>
      <c r="D1" s="1" t="s">
        <v>611</v>
      </c>
      <c r="E1" s="1" t="s">
        <v>612</v>
      </c>
      <c r="F1" s="1" t="s">
        <v>613</v>
      </c>
    </row>
    <row r="2" spans="1:6" ht="16.5">
      <c r="A2" s="2" t="s">
        <v>614</v>
      </c>
      <c r="B2" s="2" t="s">
        <v>615</v>
      </c>
      <c r="C2" s="2" t="s">
        <v>616</v>
      </c>
      <c r="D2" s="2" t="s">
        <v>617</v>
      </c>
      <c r="E2" s="2" t="s">
        <v>618</v>
      </c>
      <c r="F2" s="2" t="b">
        <v>1</v>
      </c>
    </row>
  </sheetData>
  <autoFilter ref="A1:F2" xr:uid="{00000000-0009-0000-0000-00000F000000}"/>
  <phoneticPr fontId="3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4E79"/>
  </sheetPr>
  <dimension ref="A1:G21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6" customWidth="1"/>
    <col min="2" max="3" width="14" customWidth="1"/>
    <col min="4" max="4" width="18" customWidth="1"/>
    <col min="5" max="6" width="14" customWidth="1"/>
    <col min="7" max="7" width="40" customWidth="1"/>
  </cols>
  <sheetData>
    <row r="1" spans="1:7" ht="21.95" customHeight="1">
      <c r="A1" s="1" t="s">
        <v>235</v>
      </c>
      <c r="B1" s="1" t="s">
        <v>619</v>
      </c>
      <c r="C1" s="1" t="s">
        <v>273</v>
      </c>
      <c r="D1" s="1" t="s">
        <v>48</v>
      </c>
      <c r="E1" s="1" t="s">
        <v>49</v>
      </c>
      <c r="F1" s="1" t="s">
        <v>620</v>
      </c>
      <c r="G1" s="1" t="s">
        <v>116</v>
      </c>
    </row>
    <row r="2" spans="1:7" ht="16.5">
      <c r="A2" s="2" t="s">
        <v>614</v>
      </c>
      <c r="B2" s="4">
        <v>100</v>
      </c>
      <c r="C2" s="2" t="s">
        <v>270</v>
      </c>
      <c r="D2" s="2" t="s">
        <v>263</v>
      </c>
      <c r="E2" s="2" t="s">
        <v>264</v>
      </c>
      <c r="F2" s="4">
        <v>4</v>
      </c>
      <c r="G2" s="2" t="str">
        <f t="shared" ref="G2:G21" si="0">IF(OR(C2="",D2=""),"缺字段","ok")</f>
        <v>ok</v>
      </c>
    </row>
    <row r="3" spans="1:7" ht="16.5">
      <c r="A3" s="2" t="s">
        <v>614</v>
      </c>
      <c r="B3" s="4">
        <v>200</v>
      </c>
      <c r="C3" s="2" t="s">
        <v>270</v>
      </c>
      <c r="D3" s="2" t="s">
        <v>263</v>
      </c>
      <c r="E3" s="2" t="s">
        <v>264</v>
      </c>
      <c r="F3" s="4">
        <v>4</v>
      </c>
      <c r="G3" s="2" t="str">
        <f t="shared" si="0"/>
        <v>ok</v>
      </c>
    </row>
    <row r="4" spans="1:7" ht="16.5">
      <c r="A4" s="2" t="s">
        <v>614</v>
      </c>
      <c r="B4" s="4">
        <v>300</v>
      </c>
      <c r="C4" s="2" t="s">
        <v>270</v>
      </c>
      <c r="D4" s="2" t="s">
        <v>263</v>
      </c>
      <c r="E4" s="2" t="s">
        <v>264</v>
      </c>
      <c r="F4" s="4">
        <v>4</v>
      </c>
      <c r="G4" s="2" t="str">
        <f t="shared" si="0"/>
        <v>ok</v>
      </c>
    </row>
    <row r="5" spans="1:7" ht="16.5">
      <c r="A5" s="2" t="s">
        <v>614</v>
      </c>
      <c r="B5" s="4">
        <v>400</v>
      </c>
      <c r="C5" s="2" t="s">
        <v>270</v>
      </c>
      <c r="D5" s="2" t="s">
        <v>263</v>
      </c>
      <c r="E5" s="2" t="s">
        <v>264</v>
      </c>
      <c r="F5" s="4">
        <v>4</v>
      </c>
      <c r="G5" s="2" t="str">
        <f t="shared" si="0"/>
        <v>ok</v>
      </c>
    </row>
    <row r="6" spans="1:7" ht="16.5">
      <c r="A6" s="2" t="s">
        <v>614</v>
      </c>
      <c r="B6" s="4">
        <v>500</v>
      </c>
      <c r="C6" s="2" t="s">
        <v>277</v>
      </c>
      <c r="D6" s="2" t="s">
        <v>221</v>
      </c>
      <c r="E6" s="2" t="s">
        <v>222</v>
      </c>
      <c r="F6" s="4">
        <v>5</v>
      </c>
      <c r="G6" s="2" t="str">
        <f t="shared" si="0"/>
        <v>ok</v>
      </c>
    </row>
    <row r="7" spans="1:7" ht="16.5">
      <c r="A7" s="2" t="s">
        <v>614</v>
      </c>
      <c r="B7" s="4">
        <v>600</v>
      </c>
      <c r="C7" s="2" t="s">
        <v>270</v>
      </c>
      <c r="D7" s="2" t="s">
        <v>263</v>
      </c>
      <c r="E7" s="2" t="s">
        <v>264</v>
      </c>
      <c r="F7" s="4">
        <v>5</v>
      </c>
      <c r="G7" s="2" t="str">
        <f t="shared" si="0"/>
        <v>ok</v>
      </c>
    </row>
    <row r="8" spans="1:7" ht="16.5">
      <c r="A8" s="2" t="s">
        <v>614</v>
      </c>
      <c r="B8" s="4">
        <v>700</v>
      </c>
      <c r="C8" s="2" t="s">
        <v>270</v>
      </c>
      <c r="D8" s="2" t="s">
        <v>263</v>
      </c>
      <c r="E8" s="2" t="s">
        <v>264</v>
      </c>
      <c r="F8" s="4">
        <v>5</v>
      </c>
      <c r="G8" s="2" t="str">
        <f t="shared" si="0"/>
        <v>ok</v>
      </c>
    </row>
    <row r="9" spans="1:7" ht="16.5">
      <c r="A9" s="2" t="s">
        <v>614</v>
      </c>
      <c r="B9" s="4">
        <v>800</v>
      </c>
      <c r="C9" s="2" t="s">
        <v>270</v>
      </c>
      <c r="D9" s="2" t="s">
        <v>263</v>
      </c>
      <c r="E9" s="2" t="s">
        <v>264</v>
      </c>
      <c r="F9" s="4">
        <v>5</v>
      </c>
      <c r="G9" s="2" t="str">
        <f t="shared" si="0"/>
        <v>ok</v>
      </c>
    </row>
    <row r="10" spans="1:7" ht="16.5">
      <c r="A10" s="2" t="s">
        <v>614</v>
      </c>
      <c r="B10" s="4">
        <v>900</v>
      </c>
      <c r="C10" s="2" t="s">
        <v>270</v>
      </c>
      <c r="D10" s="2" t="s">
        <v>263</v>
      </c>
      <c r="E10" s="2" t="s">
        <v>264</v>
      </c>
      <c r="F10" s="4">
        <v>5</v>
      </c>
      <c r="G10" s="2" t="str">
        <f t="shared" si="0"/>
        <v>ok</v>
      </c>
    </row>
    <row r="11" spans="1:7" ht="16.5">
      <c r="A11" s="2" t="s">
        <v>614</v>
      </c>
      <c r="B11" s="4">
        <v>1000</v>
      </c>
      <c r="C11" s="2" t="s">
        <v>277</v>
      </c>
      <c r="D11" s="2" t="s">
        <v>213</v>
      </c>
      <c r="E11" s="2" t="s">
        <v>214</v>
      </c>
      <c r="F11" s="4">
        <v>6</v>
      </c>
      <c r="G11" s="2" t="str">
        <f t="shared" si="0"/>
        <v>ok</v>
      </c>
    </row>
    <row r="12" spans="1:7" ht="16.5">
      <c r="A12" s="2" t="s">
        <v>614</v>
      </c>
      <c r="B12" s="4">
        <v>1100</v>
      </c>
      <c r="C12" s="2" t="s">
        <v>270</v>
      </c>
      <c r="D12" s="2" t="s">
        <v>263</v>
      </c>
      <c r="E12" s="2" t="s">
        <v>264</v>
      </c>
      <c r="F12" s="4">
        <v>6</v>
      </c>
      <c r="G12" s="2" t="str">
        <f t="shared" si="0"/>
        <v>ok</v>
      </c>
    </row>
    <row r="13" spans="1:7" ht="16.5">
      <c r="A13" s="2" t="s">
        <v>614</v>
      </c>
      <c r="B13" s="4">
        <v>1200</v>
      </c>
      <c r="C13" s="2" t="s">
        <v>270</v>
      </c>
      <c r="D13" s="2" t="s">
        <v>263</v>
      </c>
      <c r="E13" s="2" t="s">
        <v>264</v>
      </c>
      <c r="F13" s="4">
        <v>6</v>
      </c>
      <c r="G13" s="2" t="str">
        <f t="shared" si="0"/>
        <v>ok</v>
      </c>
    </row>
    <row r="14" spans="1:7" ht="16.5">
      <c r="A14" s="2" t="s">
        <v>614</v>
      </c>
      <c r="B14" s="4">
        <v>1300</v>
      </c>
      <c r="C14" s="2" t="s">
        <v>270</v>
      </c>
      <c r="D14" s="2" t="s">
        <v>263</v>
      </c>
      <c r="E14" s="2" t="s">
        <v>264</v>
      </c>
      <c r="F14" s="4">
        <v>6</v>
      </c>
      <c r="G14" s="2" t="str">
        <f t="shared" si="0"/>
        <v>ok</v>
      </c>
    </row>
    <row r="15" spans="1:7" ht="16.5">
      <c r="A15" s="2" t="s">
        <v>614</v>
      </c>
      <c r="B15" s="4">
        <v>1400</v>
      </c>
      <c r="C15" s="2" t="s">
        <v>270</v>
      </c>
      <c r="D15" s="2" t="s">
        <v>263</v>
      </c>
      <c r="E15" s="2" t="s">
        <v>264</v>
      </c>
      <c r="F15" s="4">
        <v>6</v>
      </c>
      <c r="G15" s="2" t="str">
        <f t="shared" si="0"/>
        <v>ok</v>
      </c>
    </row>
    <row r="16" spans="1:7" ht="16.5">
      <c r="A16" s="2" t="s">
        <v>614</v>
      </c>
      <c r="B16" s="4">
        <v>1500</v>
      </c>
      <c r="C16" s="2" t="s">
        <v>277</v>
      </c>
      <c r="D16" s="2" t="s">
        <v>219</v>
      </c>
      <c r="E16" s="2" t="s">
        <v>220</v>
      </c>
      <c r="F16" s="4">
        <v>7</v>
      </c>
      <c r="G16" s="2" t="str">
        <f t="shared" si="0"/>
        <v>ok</v>
      </c>
    </row>
    <row r="17" spans="1:7" ht="16.5">
      <c r="A17" s="2" t="s">
        <v>614</v>
      </c>
      <c r="B17" s="4">
        <v>1600</v>
      </c>
      <c r="C17" s="2" t="s">
        <v>270</v>
      </c>
      <c r="D17" s="2" t="s">
        <v>263</v>
      </c>
      <c r="E17" s="2" t="s">
        <v>264</v>
      </c>
      <c r="F17" s="4">
        <v>7</v>
      </c>
      <c r="G17" s="2" t="str">
        <f t="shared" si="0"/>
        <v>ok</v>
      </c>
    </row>
    <row r="18" spans="1:7" ht="16.5">
      <c r="A18" s="2" t="s">
        <v>614</v>
      </c>
      <c r="B18" s="4">
        <v>1700</v>
      </c>
      <c r="C18" s="2" t="s">
        <v>270</v>
      </c>
      <c r="D18" s="2" t="s">
        <v>263</v>
      </c>
      <c r="E18" s="2" t="s">
        <v>264</v>
      </c>
      <c r="F18" s="4">
        <v>7</v>
      </c>
      <c r="G18" s="2" t="str">
        <f t="shared" si="0"/>
        <v>ok</v>
      </c>
    </row>
    <row r="19" spans="1:7" ht="16.5">
      <c r="A19" s="2" t="s">
        <v>614</v>
      </c>
      <c r="B19" s="4">
        <v>1800</v>
      </c>
      <c r="C19" s="2" t="s">
        <v>270</v>
      </c>
      <c r="D19" s="2" t="s">
        <v>263</v>
      </c>
      <c r="E19" s="2" t="s">
        <v>264</v>
      </c>
      <c r="F19" s="4">
        <v>7</v>
      </c>
      <c r="G19" s="2" t="str">
        <f t="shared" si="0"/>
        <v>ok</v>
      </c>
    </row>
    <row r="20" spans="1:7" ht="16.5">
      <c r="A20" s="2" t="s">
        <v>614</v>
      </c>
      <c r="B20" s="4">
        <v>1900</v>
      </c>
      <c r="C20" s="2" t="s">
        <v>270</v>
      </c>
      <c r="D20" s="2" t="s">
        <v>263</v>
      </c>
      <c r="E20" s="2" t="s">
        <v>264</v>
      </c>
      <c r="F20" s="4">
        <v>7</v>
      </c>
      <c r="G20" s="2" t="str">
        <f t="shared" si="0"/>
        <v>ok</v>
      </c>
    </row>
    <row r="21" spans="1:7" ht="16.5">
      <c r="A21" s="2" t="s">
        <v>614</v>
      </c>
      <c r="B21" s="4">
        <v>2000</v>
      </c>
      <c r="C21" s="2" t="s">
        <v>277</v>
      </c>
      <c r="D21" s="2" t="s">
        <v>223</v>
      </c>
      <c r="E21" s="2" t="s">
        <v>224</v>
      </c>
      <c r="F21" s="4">
        <v>8</v>
      </c>
      <c r="G21" s="2" t="str">
        <f t="shared" si="0"/>
        <v>ok</v>
      </c>
    </row>
  </sheetData>
  <autoFilter ref="A1:G21" xr:uid="{00000000-0009-0000-0000-000010000000}"/>
  <phoneticPr fontId="3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F4E79"/>
  </sheetPr>
  <dimension ref="A1:J25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0" width="17" customWidth="1"/>
  </cols>
  <sheetData>
    <row r="1" spans="1:10" ht="21.95" customHeight="1">
      <c r="A1" s="1" t="s">
        <v>621</v>
      </c>
      <c r="B1" s="1" t="s">
        <v>622</v>
      </c>
      <c r="C1" s="1" t="s">
        <v>623</v>
      </c>
      <c r="D1" s="1" t="s">
        <v>624</v>
      </c>
      <c r="E1" s="1" t="s">
        <v>625</v>
      </c>
      <c r="F1" s="1" t="s">
        <v>626</v>
      </c>
      <c r="G1" s="1" t="s">
        <v>627</v>
      </c>
      <c r="H1" s="1" t="s">
        <v>628</v>
      </c>
      <c r="I1" s="1" t="s">
        <v>629</v>
      </c>
      <c r="J1" s="1" t="s">
        <v>630</v>
      </c>
    </row>
    <row r="2" spans="1:10" ht="16.5">
      <c r="A2" s="2" t="s">
        <v>631</v>
      </c>
      <c r="B2" s="2">
        <v>87.14</v>
      </c>
      <c r="C2" s="2">
        <v>59.11</v>
      </c>
      <c r="D2" s="2">
        <v>0</v>
      </c>
      <c r="E2" s="2">
        <v>20</v>
      </c>
      <c r="F2" s="2">
        <v>70</v>
      </c>
      <c r="G2" s="2">
        <v>0</v>
      </c>
      <c r="H2" s="2">
        <v>0</v>
      </c>
      <c r="I2" s="2">
        <v>16</v>
      </c>
      <c r="J2" s="2">
        <v>2</v>
      </c>
    </row>
    <row r="3" spans="1:10" ht="16.5">
      <c r="A3" s="2" t="s">
        <v>632</v>
      </c>
      <c r="B3" s="2">
        <v>257.7</v>
      </c>
      <c r="C3" s="2">
        <v>200.23</v>
      </c>
      <c r="D3" s="2">
        <v>1</v>
      </c>
      <c r="E3" s="2">
        <v>8</v>
      </c>
      <c r="F3" s="2">
        <v>35</v>
      </c>
      <c r="G3" s="2">
        <v>0.57999999999999996</v>
      </c>
      <c r="H3" s="2">
        <v>0.56999999999999995</v>
      </c>
      <c r="I3" s="2">
        <v>21</v>
      </c>
      <c r="J3" s="2">
        <v>4</v>
      </c>
    </row>
    <row r="4" spans="1:10" ht="16.5">
      <c r="A4" s="2" t="s">
        <v>633</v>
      </c>
      <c r="B4" s="2">
        <v>341.34</v>
      </c>
      <c r="C4" s="2">
        <v>216.17</v>
      </c>
      <c r="D4" s="2">
        <v>2</v>
      </c>
      <c r="E4" s="2">
        <v>7</v>
      </c>
      <c r="F4" s="2">
        <v>34</v>
      </c>
      <c r="G4" s="2">
        <v>0.94</v>
      </c>
      <c r="H4" s="2">
        <v>0.94</v>
      </c>
      <c r="I4" s="2">
        <v>21</v>
      </c>
      <c r="J4" s="2">
        <v>6</v>
      </c>
    </row>
    <row r="5" spans="1:10" ht="16.5">
      <c r="A5" s="2"/>
      <c r="B5" s="2"/>
      <c r="C5" s="2"/>
      <c r="D5" s="2"/>
      <c r="E5" s="2"/>
      <c r="F5" s="2"/>
      <c r="G5" s="2"/>
      <c r="H5" s="2"/>
      <c r="I5" s="2"/>
      <c r="J5" s="2"/>
    </row>
    <row r="6" spans="1:10" ht="16.5">
      <c r="A6" s="2" t="s">
        <v>634</v>
      </c>
      <c r="B6" s="2" t="b">
        <f>AND(B3&gt;=250,B3&lt;=350)</f>
        <v>1</v>
      </c>
      <c r="C6" s="2"/>
      <c r="D6" s="2"/>
      <c r="E6" s="2"/>
      <c r="F6" s="2"/>
      <c r="G6" s="2"/>
      <c r="H6" s="2"/>
      <c r="I6" s="2"/>
      <c r="J6" s="2"/>
    </row>
    <row r="7" spans="1:10" ht="16.5">
      <c r="A7" s="2" t="s">
        <v>635</v>
      </c>
      <c r="B7" s="2" t="b">
        <f>AND(C3&gt;=180,C3&lt;=280)</f>
        <v>1</v>
      </c>
      <c r="C7" s="2"/>
      <c r="D7" s="2"/>
      <c r="E7" s="2"/>
      <c r="F7" s="2"/>
      <c r="G7" s="2"/>
      <c r="H7" s="2"/>
      <c r="I7" s="2"/>
      <c r="J7" s="2"/>
    </row>
    <row r="8" spans="1:10" ht="16.5">
      <c r="A8" s="2" t="s">
        <v>636</v>
      </c>
      <c r="B8" s="2" t="b">
        <f>AND(E3&gt;=7,E3&lt;=10)</f>
        <v>1</v>
      </c>
      <c r="C8" s="2"/>
      <c r="D8" s="2"/>
      <c r="E8" s="2"/>
      <c r="F8" s="2"/>
      <c r="G8" s="2"/>
      <c r="H8" s="2"/>
      <c r="I8" s="2"/>
      <c r="J8" s="2"/>
    </row>
    <row r="9" spans="1:10" ht="16.5">
      <c r="A9" s="2" t="s">
        <v>637</v>
      </c>
      <c r="B9" s="2" t="b">
        <f>AND(F3&gt;=35,F3&lt;=49)</f>
        <v>1</v>
      </c>
      <c r="C9" s="2"/>
      <c r="D9" s="2"/>
      <c r="E9" s="2"/>
      <c r="F9" s="2"/>
      <c r="G9" s="2"/>
      <c r="H9" s="2"/>
      <c r="I9" s="2"/>
      <c r="J9" s="2"/>
    </row>
    <row r="10" spans="1:10" ht="16.5">
      <c r="A10" s="2" t="s">
        <v>638</v>
      </c>
      <c r="B10" s="2">
        <v>1.077</v>
      </c>
      <c r="C10" s="2"/>
      <c r="D10" s="2"/>
      <c r="E10" s="2"/>
      <c r="F10" s="2"/>
      <c r="G10" s="2"/>
      <c r="H10" s="2"/>
      <c r="I10" s="2"/>
      <c r="J10" s="2"/>
    </row>
    <row r="11" spans="1:10" ht="16.5">
      <c r="A11" s="2" t="s">
        <v>639</v>
      </c>
      <c r="B11" s="2" t="b">
        <f>AND(B10&lt;1.25,B10&gt;0)</f>
        <v>1</v>
      </c>
      <c r="C11" s="2"/>
      <c r="D11" s="2"/>
      <c r="E11" s="2"/>
      <c r="F11" s="2"/>
      <c r="G11" s="2"/>
      <c r="H11" s="2"/>
      <c r="I11" s="2"/>
      <c r="J11" s="2"/>
    </row>
    <row r="12" spans="1:10" ht="16.5">
      <c r="A12" s="2" t="s">
        <v>640</v>
      </c>
      <c r="B12" s="2">
        <v>6500</v>
      </c>
      <c r="C12" s="2" t="s">
        <v>641</v>
      </c>
      <c r="D12" s="2">
        <v>39</v>
      </c>
      <c r="E12" s="2"/>
      <c r="F12" s="2"/>
      <c r="G12" s="2"/>
      <c r="H12" s="2"/>
      <c r="I12" s="2"/>
      <c r="J12" s="2"/>
    </row>
    <row r="13" spans="1:10" ht="16.5">
      <c r="A13" s="2" t="s">
        <v>642</v>
      </c>
      <c r="B13" s="2">
        <v>14</v>
      </c>
      <c r="C13" s="2" t="s">
        <v>643</v>
      </c>
      <c r="D13" s="2" t="b">
        <f>B13&lt;=20</f>
        <v>1</v>
      </c>
      <c r="E13" s="2"/>
      <c r="F13" s="2"/>
      <c r="G13" s="2"/>
      <c r="H13" s="2"/>
      <c r="I13" s="2"/>
      <c r="J13" s="2"/>
    </row>
    <row r="14" spans="1:10" ht="16.5">
      <c r="A14" s="2" t="s">
        <v>644</v>
      </c>
      <c r="B14" s="2">
        <v>18</v>
      </c>
      <c r="C14" s="2" t="s">
        <v>645</v>
      </c>
      <c r="D14" s="2" t="b">
        <f>B14&lt;=40</f>
        <v>1</v>
      </c>
      <c r="E14" s="2"/>
      <c r="F14" s="2"/>
      <c r="G14" s="2"/>
      <c r="H14" s="2"/>
      <c r="I14" s="2"/>
      <c r="J14" s="2"/>
    </row>
    <row r="15" spans="1:10" ht="16.5">
      <c r="A15" s="2" t="s">
        <v>646</v>
      </c>
      <c r="B15" s="2">
        <v>37</v>
      </c>
      <c r="C15" s="2" t="s">
        <v>647</v>
      </c>
      <c r="D15" s="2" t="b">
        <f>B15&lt;=70</f>
        <v>1</v>
      </c>
      <c r="E15" s="2"/>
      <c r="F15" s="2"/>
      <c r="G15" s="2"/>
      <c r="H15" s="2"/>
      <c r="I15" s="2"/>
      <c r="J15" s="2"/>
    </row>
    <row r="16" spans="1:10" ht="16.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ht="15">
      <c r="A17" s="5" t="s">
        <v>648</v>
      </c>
      <c r="B17" s="5" t="s">
        <v>649</v>
      </c>
      <c r="C17" s="5"/>
      <c r="D17" s="5"/>
      <c r="E17" s="5"/>
      <c r="F17" s="5"/>
      <c r="G17" s="5"/>
      <c r="H17" s="5"/>
      <c r="I17" s="5"/>
      <c r="J17" s="5"/>
    </row>
    <row r="18" spans="1:10" ht="16.5">
      <c r="A18" s="2" t="s">
        <v>650</v>
      </c>
      <c r="B18" s="2" t="b">
        <v>1</v>
      </c>
      <c r="C18" s="2"/>
      <c r="D18" s="2"/>
      <c r="E18" s="2"/>
      <c r="F18" s="2"/>
      <c r="G18" s="2"/>
      <c r="H18" s="2"/>
      <c r="I18" s="2"/>
      <c r="J18" s="2"/>
    </row>
    <row r="19" spans="1:10" ht="16.5">
      <c r="A19" s="2" t="s">
        <v>651</v>
      </c>
      <c r="B19" s="2" t="b">
        <v>1</v>
      </c>
      <c r="C19" s="2"/>
      <c r="D19" s="2"/>
      <c r="E19" s="2"/>
      <c r="F19" s="2"/>
      <c r="G19" s="2"/>
      <c r="H19" s="2"/>
      <c r="I19" s="2"/>
      <c r="J19" s="2"/>
    </row>
    <row r="20" spans="1:10" ht="16.5">
      <c r="A20" s="2" t="s">
        <v>652</v>
      </c>
      <c r="B20" s="2" t="b">
        <v>1</v>
      </c>
      <c r="C20" s="2"/>
      <c r="D20" s="2"/>
      <c r="E20" s="2"/>
      <c r="F20" s="2"/>
      <c r="G20" s="2"/>
      <c r="H20" s="2"/>
      <c r="I20" s="2"/>
      <c r="J20" s="2"/>
    </row>
    <row r="21" spans="1:10" ht="16.5">
      <c r="A21" s="2" t="s">
        <v>653</v>
      </c>
      <c r="B21" s="2" t="b">
        <v>1</v>
      </c>
      <c r="C21" s="2"/>
      <c r="D21" s="2"/>
      <c r="E21" s="2"/>
      <c r="F21" s="2"/>
      <c r="G21" s="2"/>
      <c r="H21" s="2"/>
      <c r="I21" s="2"/>
      <c r="J21" s="2"/>
    </row>
    <row r="22" spans="1:10" ht="16.5">
      <c r="A22" s="2" t="s">
        <v>654</v>
      </c>
      <c r="B22" s="2" t="b">
        <v>1</v>
      </c>
      <c r="C22" s="2"/>
      <c r="D22" s="2"/>
      <c r="E22" s="2"/>
      <c r="F22" s="2"/>
      <c r="G22" s="2"/>
      <c r="H22" s="2"/>
      <c r="I22" s="2"/>
      <c r="J22" s="2"/>
    </row>
    <row r="23" spans="1:10" ht="16.5">
      <c r="A23" s="2" t="s">
        <v>655</v>
      </c>
      <c r="B23" s="2" t="b">
        <v>1</v>
      </c>
      <c r="C23" s="2"/>
      <c r="D23" s="2"/>
      <c r="E23" s="2"/>
      <c r="F23" s="2"/>
      <c r="G23" s="2"/>
      <c r="H23" s="2"/>
      <c r="I23" s="2"/>
      <c r="J23" s="2"/>
    </row>
    <row r="24" spans="1:10" ht="16.5">
      <c r="A24" s="2" t="s">
        <v>656</v>
      </c>
      <c r="B24" s="2" t="b">
        <v>1</v>
      </c>
      <c r="C24" s="2"/>
      <c r="D24" s="2"/>
      <c r="E24" s="2"/>
      <c r="F24" s="2"/>
      <c r="G24" s="2"/>
      <c r="H24" s="2"/>
      <c r="I24" s="2"/>
      <c r="J24" s="2"/>
    </row>
    <row r="25" spans="1:10" ht="16.5">
      <c r="A25" s="2" t="s">
        <v>657</v>
      </c>
      <c r="B25" s="2" t="b">
        <v>1</v>
      </c>
      <c r="C25" s="2"/>
      <c r="D25" s="2"/>
      <c r="E25" s="2"/>
      <c r="F25" s="2"/>
      <c r="G25" s="2"/>
      <c r="H25" s="2"/>
      <c r="I25" s="2"/>
      <c r="J25" s="2"/>
    </row>
  </sheetData>
  <autoFilter ref="A1:J4" xr:uid="{00000000-0009-0000-0000-000011000000}"/>
  <phoneticPr fontId="3" type="noConversion"/>
  <conditionalFormatting sqref="B6:B9">
    <cfRule type="expression" dxfId="9" priority="1">
      <formula>B6=TRUE</formula>
    </cfRule>
    <cfRule type="expression" dxfId="8" priority="2">
      <formula>B6=FALSE</formula>
    </cfRule>
  </conditionalFormatting>
  <conditionalFormatting sqref="B11">
    <cfRule type="expression" dxfId="7" priority="9">
      <formula>B11=TRUE</formula>
    </cfRule>
    <cfRule type="expression" dxfId="6" priority="10">
      <formula>B11=FALSE</formula>
    </cfRule>
  </conditionalFormatting>
  <conditionalFormatting sqref="B18:B25">
    <cfRule type="expression" dxfId="5" priority="17">
      <formula>B18=TRUE</formula>
    </cfRule>
    <cfRule type="expression" dxfId="4" priority="18">
      <formula>B18=FALSE</formula>
    </cfRule>
  </conditionalFormatting>
  <conditionalFormatting sqref="D13:D15">
    <cfRule type="expression" dxfId="3" priority="11">
      <formula>D13=TRUE</formula>
    </cfRule>
    <cfRule type="expression" dxfId="2" priority="12">
      <formula>D13=FALSE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F4E79"/>
  </sheetPr>
  <dimension ref="A1:D84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14" customWidth="1"/>
    <col min="2" max="2" width="23" customWidth="1"/>
    <col min="3" max="3" width="14" customWidth="1"/>
    <col min="4" max="4" width="25" customWidth="1"/>
  </cols>
  <sheetData>
    <row r="1" spans="1:4" ht="21.95" customHeight="1">
      <c r="A1" s="1" t="s">
        <v>658</v>
      </c>
      <c r="B1" s="1" t="s">
        <v>48</v>
      </c>
      <c r="C1" s="1" t="s">
        <v>659</v>
      </c>
      <c r="D1" s="1" t="s">
        <v>660</v>
      </c>
    </row>
    <row r="2" spans="1:4" ht="16.5">
      <c r="A2" s="2" t="s">
        <v>661</v>
      </c>
      <c r="B2" s="2" t="s">
        <v>59</v>
      </c>
      <c r="C2" s="2" t="s">
        <v>58</v>
      </c>
      <c r="D2" s="2" t="s">
        <v>63</v>
      </c>
    </row>
    <row r="3" spans="1:4" ht="16.5">
      <c r="A3" s="2" t="s">
        <v>661</v>
      </c>
      <c r="B3" s="2" t="s">
        <v>64</v>
      </c>
      <c r="C3" s="2" t="s">
        <v>58</v>
      </c>
      <c r="D3" s="2" t="s">
        <v>63</v>
      </c>
    </row>
    <row r="4" spans="1:4" ht="16.5">
      <c r="A4" s="2" t="s">
        <v>661</v>
      </c>
      <c r="B4" s="2" t="s">
        <v>67</v>
      </c>
      <c r="C4" s="2" t="s">
        <v>58</v>
      </c>
      <c r="D4" s="2" t="s">
        <v>63</v>
      </c>
    </row>
    <row r="5" spans="1:4" ht="16.5">
      <c r="A5" s="2" t="s">
        <v>661</v>
      </c>
      <c r="B5" s="2" t="s">
        <v>70</v>
      </c>
      <c r="C5" s="2" t="s">
        <v>58</v>
      </c>
      <c r="D5" s="2" t="s">
        <v>63</v>
      </c>
    </row>
    <row r="6" spans="1:4" ht="16.5">
      <c r="A6" s="2" t="s">
        <v>661</v>
      </c>
      <c r="B6" s="2" t="s">
        <v>72</v>
      </c>
      <c r="C6" s="2" t="s">
        <v>58</v>
      </c>
      <c r="D6" s="2" t="s">
        <v>63</v>
      </c>
    </row>
    <row r="7" spans="1:4" ht="16.5">
      <c r="A7" s="2" t="s">
        <v>661</v>
      </c>
      <c r="B7" s="2" t="s">
        <v>75</v>
      </c>
      <c r="C7" s="2" t="s">
        <v>58</v>
      </c>
      <c r="D7" s="2" t="s">
        <v>63</v>
      </c>
    </row>
    <row r="8" spans="1:4" ht="16.5">
      <c r="A8" s="2" t="s">
        <v>661</v>
      </c>
      <c r="B8" s="2" t="s">
        <v>77</v>
      </c>
      <c r="C8" s="2" t="s">
        <v>58</v>
      </c>
      <c r="D8" s="2" t="s">
        <v>63</v>
      </c>
    </row>
    <row r="9" spans="1:4" ht="16.5">
      <c r="A9" s="2" t="s">
        <v>661</v>
      </c>
      <c r="B9" s="2" t="s">
        <v>79</v>
      </c>
      <c r="C9" s="2" t="s">
        <v>58</v>
      </c>
      <c r="D9" s="2" t="s">
        <v>63</v>
      </c>
    </row>
    <row r="10" spans="1:4" ht="16.5">
      <c r="A10" s="2" t="s">
        <v>661</v>
      </c>
      <c r="B10" s="2" t="s">
        <v>81</v>
      </c>
      <c r="C10" s="2" t="s">
        <v>58</v>
      </c>
      <c r="D10" s="2" t="s">
        <v>63</v>
      </c>
    </row>
    <row r="11" spans="1:4" ht="16.5">
      <c r="A11" s="2" t="s">
        <v>661</v>
      </c>
      <c r="B11" s="2" t="s">
        <v>84</v>
      </c>
      <c r="C11" s="2" t="s">
        <v>58</v>
      </c>
      <c r="D11" s="2" t="s">
        <v>63</v>
      </c>
    </row>
    <row r="12" spans="1:4" ht="16.5">
      <c r="A12" s="2" t="s">
        <v>661</v>
      </c>
      <c r="B12" s="2" t="s">
        <v>86</v>
      </c>
      <c r="C12" s="2" t="s">
        <v>58</v>
      </c>
      <c r="D12" s="2" t="s">
        <v>63</v>
      </c>
    </row>
    <row r="13" spans="1:4" ht="16.5">
      <c r="A13" s="2" t="s">
        <v>661</v>
      </c>
      <c r="B13" s="2" t="s">
        <v>88</v>
      </c>
      <c r="C13" s="2" t="s">
        <v>58</v>
      </c>
      <c r="D13" s="2" t="s">
        <v>63</v>
      </c>
    </row>
    <row r="14" spans="1:4" ht="16.5">
      <c r="A14" s="2" t="s">
        <v>661</v>
      </c>
      <c r="B14" s="2" t="s">
        <v>90</v>
      </c>
      <c r="C14" s="2" t="s">
        <v>58</v>
      </c>
      <c r="D14" s="2" t="s">
        <v>63</v>
      </c>
    </row>
    <row r="15" spans="1:4" ht="16.5">
      <c r="A15" s="2" t="s">
        <v>661</v>
      </c>
      <c r="B15" s="2" t="s">
        <v>93</v>
      </c>
      <c r="C15" s="2" t="s">
        <v>58</v>
      </c>
      <c r="D15" s="2" t="s">
        <v>63</v>
      </c>
    </row>
    <row r="16" spans="1:4" ht="16.5">
      <c r="A16" s="2" t="s">
        <v>661</v>
      </c>
      <c r="B16" s="2" t="s">
        <v>95</v>
      </c>
      <c r="C16" s="2" t="s">
        <v>58</v>
      </c>
      <c r="D16" s="2" t="s">
        <v>63</v>
      </c>
    </row>
    <row r="17" spans="1:4" ht="16.5">
      <c r="A17" s="2" t="s">
        <v>661</v>
      </c>
      <c r="B17" s="2" t="s">
        <v>97</v>
      </c>
      <c r="C17" s="2" t="s">
        <v>58</v>
      </c>
      <c r="D17" s="2" t="s">
        <v>63</v>
      </c>
    </row>
    <row r="18" spans="1:4" ht="16.5">
      <c r="A18" s="2" t="s">
        <v>661</v>
      </c>
      <c r="B18" s="2" t="s">
        <v>99</v>
      </c>
      <c r="C18" s="2" t="s">
        <v>58</v>
      </c>
      <c r="D18" s="2" t="s">
        <v>63</v>
      </c>
    </row>
    <row r="19" spans="1:4" ht="16.5">
      <c r="A19" s="2" t="s">
        <v>661</v>
      </c>
      <c r="B19" s="2" t="s">
        <v>102</v>
      </c>
      <c r="C19" s="2" t="s">
        <v>58</v>
      </c>
      <c r="D19" s="2" t="s">
        <v>63</v>
      </c>
    </row>
    <row r="20" spans="1:4" ht="16.5">
      <c r="A20" s="2" t="s">
        <v>661</v>
      </c>
      <c r="B20" s="2" t="s">
        <v>104</v>
      </c>
      <c r="C20" s="2" t="s">
        <v>58</v>
      </c>
      <c r="D20" s="2" t="s">
        <v>63</v>
      </c>
    </row>
    <row r="21" spans="1:4" ht="16.5">
      <c r="A21" s="2" t="s">
        <v>661</v>
      </c>
      <c r="B21" s="2" t="s">
        <v>106</v>
      </c>
      <c r="C21" s="2" t="s">
        <v>58</v>
      </c>
      <c r="D21" s="2" t="s">
        <v>63</v>
      </c>
    </row>
    <row r="22" spans="1:4" ht="16.5">
      <c r="A22" s="2" t="s">
        <v>662</v>
      </c>
      <c r="B22" s="2"/>
      <c r="C22" s="2" t="s">
        <v>58</v>
      </c>
      <c r="D22" s="2" t="s">
        <v>63</v>
      </c>
    </row>
    <row r="23" spans="1:4" ht="16.5">
      <c r="A23" s="2" t="s">
        <v>662</v>
      </c>
      <c r="B23" s="2"/>
      <c r="C23" s="2" t="s">
        <v>58</v>
      </c>
      <c r="D23" s="2" t="s">
        <v>63</v>
      </c>
    </row>
    <row r="24" spans="1:4" ht="16.5">
      <c r="A24" s="2" t="s">
        <v>662</v>
      </c>
      <c r="B24" s="2"/>
      <c r="C24" s="2" t="s">
        <v>58</v>
      </c>
      <c r="D24" s="2" t="s">
        <v>63</v>
      </c>
    </row>
    <row r="25" spans="1:4" ht="16.5">
      <c r="A25" s="2" t="s">
        <v>662</v>
      </c>
      <c r="B25" s="2"/>
      <c r="C25" s="2" t="s">
        <v>58</v>
      </c>
      <c r="D25" s="2" t="s">
        <v>63</v>
      </c>
    </row>
    <row r="26" spans="1:4" ht="16.5">
      <c r="A26" s="2" t="s">
        <v>662</v>
      </c>
      <c r="B26" s="2"/>
      <c r="C26" s="2" t="s">
        <v>58</v>
      </c>
      <c r="D26" s="2" t="s">
        <v>63</v>
      </c>
    </row>
    <row r="27" spans="1:4" ht="16.5">
      <c r="A27" s="2" t="s">
        <v>662</v>
      </c>
      <c r="B27" s="2"/>
      <c r="C27" s="2" t="s">
        <v>58</v>
      </c>
      <c r="D27" s="2" t="s">
        <v>63</v>
      </c>
    </row>
    <row r="28" spans="1:4" ht="16.5">
      <c r="A28" s="2" t="s">
        <v>662</v>
      </c>
      <c r="B28" s="2"/>
      <c r="C28" s="2" t="s">
        <v>58</v>
      </c>
      <c r="D28" s="2" t="s">
        <v>63</v>
      </c>
    </row>
    <row r="29" spans="1:4" ht="16.5">
      <c r="A29" s="2" t="s">
        <v>662</v>
      </c>
      <c r="B29" s="2"/>
      <c r="C29" s="2" t="s">
        <v>58</v>
      </c>
      <c r="D29" s="2" t="s">
        <v>63</v>
      </c>
    </row>
    <row r="30" spans="1:4" ht="16.5">
      <c r="A30" s="2" t="s">
        <v>662</v>
      </c>
      <c r="B30" s="2"/>
      <c r="C30" s="2" t="s">
        <v>58</v>
      </c>
      <c r="D30" s="2" t="s">
        <v>63</v>
      </c>
    </row>
    <row r="31" spans="1:4" ht="16.5">
      <c r="A31" s="2" t="s">
        <v>662</v>
      </c>
      <c r="B31" s="2"/>
      <c r="C31" s="2" t="s">
        <v>58</v>
      </c>
      <c r="D31" s="2" t="s">
        <v>63</v>
      </c>
    </row>
    <row r="32" spans="1:4" ht="16.5">
      <c r="A32" s="2" t="s">
        <v>662</v>
      </c>
      <c r="B32" s="2"/>
      <c r="C32" s="2" t="s">
        <v>58</v>
      </c>
      <c r="D32" s="2" t="s">
        <v>63</v>
      </c>
    </row>
    <row r="33" spans="1:4" ht="16.5">
      <c r="A33" s="2" t="s">
        <v>662</v>
      </c>
      <c r="B33" s="2"/>
      <c r="C33" s="2" t="s">
        <v>58</v>
      </c>
      <c r="D33" s="2" t="s">
        <v>63</v>
      </c>
    </row>
    <row r="34" spans="1:4" ht="16.5">
      <c r="A34" s="2" t="s">
        <v>577</v>
      </c>
      <c r="B34" s="2" t="s">
        <v>469</v>
      </c>
      <c r="C34" s="2" t="s">
        <v>58</v>
      </c>
      <c r="D34" s="2" t="s">
        <v>63</v>
      </c>
    </row>
    <row r="35" spans="1:4" ht="16.5">
      <c r="A35" s="2" t="s">
        <v>577</v>
      </c>
      <c r="B35" s="2" t="s">
        <v>473</v>
      </c>
      <c r="C35" s="2" t="s">
        <v>58</v>
      </c>
      <c r="D35" s="2" t="s">
        <v>63</v>
      </c>
    </row>
    <row r="36" spans="1:4" ht="16.5">
      <c r="A36" s="2" t="s">
        <v>577</v>
      </c>
      <c r="B36" s="2" t="s">
        <v>477</v>
      </c>
      <c r="C36" s="2" t="s">
        <v>58</v>
      </c>
      <c r="D36" s="2" t="s">
        <v>63</v>
      </c>
    </row>
    <row r="37" spans="1:4" ht="16.5">
      <c r="A37" s="2" t="s">
        <v>577</v>
      </c>
      <c r="B37" s="2" t="s">
        <v>481</v>
      </c>
      <c r="C37" s="2" t="s">
        <v>58</v>
      </c>
      <c r="D37" s="2" t="s">
        <v>63</v>
      </c>
    </row>
    <row r="38" spans="1:4" ht="16.5">
      <c r="A38" s="2" t="s">
        <v>577</v>
      </c>
      <c r="B38" s="2" t="s">
        <v>484</v>
      </c>
      <c r="C38" s="2" t="s">
        <v>58</v>
      </c>
      <c r="D38" s="2" t="s">
        <v>63</v>
      </c>
    </row>
    <row r="39" spans="1:4" ht="16.5">
      <c r="A39" s="2" t="s">
        <v>577</v>
      </c>
      <c r="B39" s="2" t="s">
        <v>487</v>
      </c>
      <c r="C39" s="2" t="s">
        <v>58</v>
      </c>
      <c r="D39" s="2" t="s">
        <v>63</v>
      </c>
    </row>
    <row r="40" spans="1:4" ht="16.5">
      <c r="A40" s="2" t="s">
        <v>577</v>
      </c>
      <c r="B40" s="2" t="s">
        <v>490</v>
      </c>
      <c r="C40" s="2" t="s">
        <v>58</v>
      </c>
      <c r="D40" s="2" t="s">
        <v>63</v>
      </c>
    </row>
    <row r="41" spans="1:4" ht="16.5">
      <c r="A41" s="2" t="s">
        <v>577</v>
      </c>
      <c r="B41" s="2" t="s">
        <v>492</v>
      </c>
      <c r="C41" s="2" t="s">
        <v>58</v>
      </c>
      <c r="D41" s="2" t="s">
        <v>63</v>
      </c>
    </row>
    <row r="42" spans="1:4" ht="16.5">
      <c r="A42" s="2" t="s">
        <v>577</v>
      </c>
      <c r="B42" s="2" t="s">
        <v>494</v>
      </c>
      <c r="C42" s="2" t="s">
        <v>58</v>
      </c>
      <c r="D42" s="2" t="s">
        <v>63</v>
      </c>
    </row>
    <row r="43" spans="1:4" ht="16.5">
      <c r="A43" s="2" t="s">
        <v>577</v>
      </c>
      <c r="B43" s="2" t="s">
        <v>496</v>
      </c>
      <c r="C43" s="2" t="s">
        <v>58</v>
      </c>
      <c r="D43" s="2" t="s">
        <v>63</v>
      </c>
    </row>
    <row r="44" spans="1:4" ht="16.5">
      <c r="A44" s="2" t="s">
        <v>577</v>
      </c>
      <c r="B44" s="2" t="s">
        <v>498</v>
      </c>
      <c r="C44" s="2" t="s">
        <v>58</v>
      </c>
      <c r="D44" s="2" t="s">
        <v>63</v>
      </c>
    </row>
    <row r="45" spans="1:4" ht="16.5">
      <c r="A45" s="2" t="s">
        <v>577</v>
      </c>
      <c r="B45" s="2" t="s">
        <v>500</v>
      </c>
      <c r="C45" s="2" t="s">
        <v>58</v>
      </c>
      <c r="D45" s="2" t="s">
        <v>63</v>
      </c>
    </row>
    <row r="46" spans="1:4" ht="16.5">
      <c r="A46" s="2" t="s">
        <v>577</v>
      </c>
      <c r="B46" s="2" t="s">
        <v>502</v>
      </c>
      <c r="C46" s="2" t="s">
        <v>58</v>
      </c>
      <c r="D46" s="2" t="s">
        <v>63</v>
      </c>
    </row>
    <row r="47" spans="1:4" ht="16.5">
      <c r="A47" s="2" t="s">
        <v>577</v>
      </c>
      <c r="B47" s="2" t="s">
        <v>504</v>
      </c>
      <c r="C47" s="2" t="s">
        <v>58</v>
      </c>
      <c r="D47" s="2" t="s">
        <v>63</v>
      </c>
    </row>
    <row r="48" spans="1:4" ht="16.5">
      <c r="A48" s="2" t="s">
        <v>577</v>
      </c>
      <c r="B48" s="2" t="s">
        <v>506</v>
      </c>
      <c r="C48" s="2" t="s">
        <v>58</v>
      </c>
      <c r="D48" s="2" t="s">
        <v>63</v>
      </c>
    </row>
    <row r="49" spans="1:4" ht="16.5">
      <c r="A49" s="2" t="s">
        <v>577</v>
      </c>
      <c r="B49" s="2" t="s">
        <v>508</v>
      </c>
      <c r="C49" s="2" t="s">
        <v>58</v>
      </c>
      <c r="D49" s="2" t="s">
        <v>63</v>
      </c>
    </row>
    <row r="50" spans="1:4" ht="16.5">
      <c r="A50" s="2" t="s">
        <v>577</v>
      </c>
      <c r="B50" s="2" t="s">
        <v>510</v>
      </c>
      <c r="C50" s="2" t="s">
        <v>58</v>
      </c>
      <c r="D50" s="2" t="s">
        <v>63</v>
      </c>
    </row>
    <row r="51" spans="1:4" ht="16.5">
      <c r="A51" s="2" t="s">
        <v>577</v>
      </c>
      <c r="B51" s="2" t="s">
        <v>512</v>
      </c>
      <c r="C51" s="2" t="s">
        <v>58</v>
      </c>
      <c r="D51" s="2" t="s">
        <v>63</v>
      </c>
    </row>
    <row r="52" spans="1:4" ht="16.5">
      <c r="A52" s="2" t="s">
        <v>577</v>
      </c>
      <c r="B52" s="2" t="s">
        <v>514</v>
      </c>
      <c r="C52" s="2" t="s">
        <v>58</v>
      </c>
      <c r="D52" s="2" t="s">
        <v>63</v>
      </c>
    </row>
    <row r="53" spans="1:4" ht="16.5">
      <c r="A53" s="2" t="s">
        <v>577</v>
      </c>
      <c r="B53" s="2" t="s">
        <v>516</v>
      </c>
      <c r="C53" s="2" t="s">
        <v>58</v>
      </c>
      <c r="D53" s="2" t="s">
        <v>63</v>
      </c>
    </row>
    <row r="54" spans="1:4" ht="16.5">
      <c r="A54" s="2" t="s">
        <v>577</v>
      </c>
      <c r="B54" s="2" t="s">
        <v>518</v>
      </c>
      <c r="C54" s="2" t="s">
        <v>58</v>
      </c>
      <c r="D54" s="2" t="s">
        <v>63</v>
      </c>
    </row>
    <row r="55" spans="1:4" ht="16.5">
      <c r="A55" s="2" t="s">
        <v>577</v>
      </c>
      <c r="B55" s="2" t="s">
        <v>520</v>
      </c>
      <c r="C55" s="2" t="s">
        <v>58</v>
      </c>
      <c r="D55" s="2" t="s">
        <v>63</v>
      </c>
    </row>
    <row r="56" spans="1:4" ht="16.5">
      <c r="A56" s="2" t="s">
        <v>577</v>
      </c>
      <c r="B56" s="2" t="s">
        <v>522</v>
      </c>
      <c r="C56" s="2" t="s">
        <v>58</v>
      </c>
      <c r="D56" s="2" t="s">
        <v>63</v>
      </c>
    </row>
    <row r="57" spans="1:4" ht="16.5">
      <c r="A57" s="2" t="s">
        <v>577</v>
      </c>
      <c r="B57" s="2" t="s">
        <v>524</v>
      </c>
      <c r="C57" s="2" t="s">
        <v>58</v>
      </c>
      <c r="D57" s="2" t="s">
        <v>63</v>
      </c>
    </row>
    <row r="58" spans="1:4" ht="16.5">
      <c r="A58" s="2" t="s">
        <v>577</v>
      </c>
      <c r="B58" s="2" t="s">
        <v>526</v>
      </c>
      <c r="C58" s="2" t="s">
        <v>58</v>
      </c>
      <c r="D58" s="2" t="s">
        <v>63</v>
      </c>
    </row>
    <row r="59" spans="1:4" ht="16.5">
      <c r="A59" s="2" t="s">
        <v>577</v>
      </c>
      <c r="B59" s="2" t="s">
        <v>529</v>
      </c>
      <c r="C59" s="2" t="s">
        <v>58</v>
      </c>
      <c r="D59" s="2" t="s">
        <v>63</v>
      </c>
    </row>
    <row r="60" spans="1:4" ht="16.5">
      <c r="A60" s="2" t="s">
        <v>577</v>
      </c>
      <c r="B60" s="2" t="s">
        <v>531</v>
      </c>
      <c r="C60" s="2" t="s">
        <v>58</v>
      </c>
      <c r="D60" s="2" t="s">
        <v>63</v>
      </c>
    </row>
    <row r="61" spans="1:4" ht="16.5">
      <c r="A61" s="2" t="s">
        <v>577</v>
      </c>
      <c r="B61" s="2" t="s">
        <v>533</v>
      </c>
      <c r="C61" s="2" t="s">
        <v>58</v>
      </c>
      <c r="D61" s="2" t="s">
        <v>63</v>
      </c>
    </row>
    <row r="62" spans="1:4" ht="16.5">
      <c r="A62" s="2" t="s">
        <v>577</v>
      </c>
      <c r="B62" s="2" t="s">
        <v>535</v>
      </c>
      <c r="C62" s="2" t="s">
        <v>58</v>
      </c>
      <c r="D62" s="2" t="s">
        <v>63</v>
      </c>
    </row>
    <row r="63" spans="1:4" ht="16.5">
      <c r="A63" s="2" t="s">
        <v>577</v>
      </c>
      <c r="B63" s="2" t="s">
        <v>537</v>
      </c>
      <c r="C63" s="2" t="s">
        <v>58</v>
      </c>
      <c r="D63" s="2" t="s">
        <v>63</v>
      </c>
    </row>
    <row r="64" spans="1:4" ht="16.5">
      <c r="A64" s="2" t="s">
        <v>663</v>
      </c>
      <c r="B64" s="2" t="s">
        <v>664</v>
      </c>
      <c r="C64" s="2" t="s">
        <v>665</v>
      </c>
      <c r="D64" s="2" t="s">
        <v>666</v>
      </c>
    </row>
    <row r="65" spans="1:4" ht="16.5">
      <c r="A65" s="2" t="s">
        <v>663</v>
      </c>
      <c r="B65" s="2" t="s">
        <v>667</v>
      </c>
      <c r="C65" s="2" t="s">
        <v>665</v>
      </c>
      <c r="D65" s="2" t="s">
        <v>668</v>
      </c>
    </row>
    <row r="66" spans="1:4" ht="16.5">
      <c r="A66" s="2" t="s">
        <v>663</v>
      </c>
      <c r="B66" s="2" t="s">
        <v>669</v>
      </c>
      <c r="C66" s="2" t="s">
        <v>665</v>
      </c>
      <c r="D66" s="2" t="s">
        <v>670</v>
      </c>
    </row>
    <row r="67" spans="1:4" ht="16.5">
      <c r="A67" s="2" t="s">
        <v>663</v>
      </c>
      <c r="B67" s="2" t="s">
        <v>671</v>
      </c>
      <c r="C67" s="2" t="s">
        <v>665</v>
      </c>
      <c r="D67" s="2" t="s">
        <v>672</v>
      </c>
    </row>
    <row r="68" spans="1:4" ht="16.5">
      <c r="A68" s="2" t="s">
        <v>663</v>
      </c>
      <c r="B68" s="2" t="s">
        <v>673</v>
      </c>
      <c r="C68" s="2" t="s">
        <v>665</v>
      </c>
      <c r="D68" s="2" t="s">
        <v>672</v>
      </c>
    </row>
    <row r="69" spans="1:4" ht="16.5">
      <c r="A69" s="2" t="s">
        <v>663</v>
      </c>
      <c r="B69" s="2" t="s">
        <v>674</v>
      </c>
      <c r="C69" s="2" t="s">
        <v>665</v>
      </c>
      <c r="D69" s="2" t="s">
        <v>675</v>
      </c>
    </row>
    <row r="70" spans="1:4" ht="16.5">
      <c r="A70" s="2" t="s">
        <v>663</v>
      </c>
      <c r="B70" s="2" t="s">
        <v>676</v>
      </c>
      <c r="C70" s="2" t="s">
        <v>665</v>
      </c>
      <c r="D70" s="2" t="s">
        <v>672</v>
      </c>
    </row>
    <row r="71" spans="1:4" ht="16.5">
      <c r="A71" s="2" t="s">
        <v>663</v>
      </c>
      <c r="B71" s="2" t="s">
        <v>677</v>
      </c>
      <c r="C71" s="2" t="s">
        <v>665</v>
      </c>
      <c r="D71" s="2" t="s">
        <v>672</v>
      </c>
    </row>
    <row r="72" spans="1:4" ht="16.5">
      <c r="A72" s="2" t="s">
        <v>663</v>
      </c>
      <c r="B72" s="2" t="s">
        <v>678</v>
      </c>
      <c r="C72" s="2" t="s">
        <v>665</v>
      </c>
      <c r="D72" s="2" t="s">
        <v>672</v>
      </c>
    </row>
    <row r="73" spans="1:4" ht="16.5">
      <c r="A73" s="2" t="s">
        <v>663</v>
      </c>
      <c r="B73" s="2" t="s">
        <v>679</v>
      </c>
      <c r="C73" s="2" t="s">
        <v>665</v>
      </c>
      <c r="D73" s="2" t="s">
        <v>672</v>
      </c>
    </row>
    <row r="74" spans="1:4" ht="16.5">
      <c r="A74" s="2" t="s">
        <v>663</v>
      </c>
      <c r="B74" s="2" t="s">
        <v>680</v>
      </c>
      <c r="C74" s="2" t="s">
        <v>665</v>
      </c>
      <c r="D74" s="2" t="s">
        <v>681</v>
      </c>
    </row>
    <row r="75" spans="1:4" ht="16.5">
      <c r="A75" s="2" t="s">
        <v>663</v>
      </c>
      <c r="B75" s="2" t="s">
        <v>682</v>
      </c>
      <c r="C75" s="2" t="s">
        <v>665</v>
      </c>
      <c r="D75" s="2" t="s">
        <v>672</v>
      </c>
    </row>
    <row r="76" spans="1:4" ht="16.5">
      <c r="A76" s="2" t="s">
        <v>663</v>
      </c>
      <c r="B76" s="2" t="s">
        <v>683</v>
      </c>
      <c r="C76" s="2" t="s">
        <v>665</v>
      </c>
      <c r="D76" s="2" t="s">
        <v>684</v>
      </c>
    </row>
    <row r="77" spans="1:4" ht="16.5">
      <c r="A77" s="2" t="s">
        <v>663</v>
      </c>
      <c r="B77" s="2" t="s">
        <v>685</v>
      </c>
      <c r="C77" s="2" t="s">
        <v>665</v>
      </c>
      <c r="D77" s="2" t="s">
        <v>686</v>
      </c>
    </row>
    <row r="78" spans="1:4" ht="16.5">
      <c r="A78" s="2" t="s">
        <v>663</v>
      </c>
      <c r="B78" s="2" t="s">
        <v>687</v>
      </c>
      <c r="C78" s="2" t="s">
        <v>665</v>
      </c>
      <c r="D78" s="2" t="s">
        <v>688</v>
      </c>
    </row>
    <row r="79" spans="1:4" ht="16.5">
      <c r="A79" s="2" t="s">
        <v>663</v>
      </c>
      <c r="B79" s="2" t="s">
        <v>689</v>
      </c>
      <c r="C79" s="2" t="s">
        <v>665</v>
      </c>
      <c r="D79" s="2" t="s">
        <v>690</v>
      </c>
    </row>
    <row r="80" spans="1:4" ht="16.5">
      <c r="A80" s="2" t="s">
        <v>663</v>
      </c>
      <c r="B80" s="2" t="s">
        <v>691</v>
      </c>
      <c r="C80" s="2" t="s">
        <v>665</v>
      </c>
      <c r="D80" s="2" t="s">
        <v>692</v>
      </c>
    </row>
    <row r="81" spans="1:4" ht="16.5">
      <c r="A81" s="2" t="s">
        <v>663</v>
      </c>
      <c r="B81" s="2" t="s">
        <v>693</v>
      </c>
      <c r="C81" s="2" t="s">
        <v>665</v>
      </c>
      <c r="D81" s="2" t="s">
        <v>694</v>
      </c>
    </row>
    <row r="82" spans="1:4" ht="16.5">
      <c r="A82" s="2" t="s">
        <v>663</v>
      </c>
      <c r="B82" s="2" t="s">
        <v>695</v>
      </c>
      <c r="C82" s="2" t="s">
        <v>665</v>
      </c>
      <c r="D82" s="2" t="s">
        <v>696</v>
      </c>
    </row>
    <row r="83" spans="1:4" ht="16.5">
      <c r="A83" s="2" t="s">
        <v>663</v>
      </c>
      <c r="B83" s="2" t="s">
        <v>697</v>
      </c>
      <c r="C83" s="2" t="s">
        <v>665</v>
      </c>
      <c r="D83" s="2" t="s">
        <v>698</v>
      </c>
    </row>
    <row r="84" spans="1:4" ht="16.5">
      <c r="A84" s="2" t="s">
        <v>663</v>
      </c>
      <c r="B84" s="2" t="s">
        <v>699</v>
      </c>
      <c r="C84" s="2" t="s">
        <v>665</v>
      </c>
      <c r="D84" s="2" t="s">
        <v>700</v>
      </c>
    </row>
  </sheetData>
  <autoFilter ref="A1:D84" xr:uid="{00000000-0009-0000-0000-000012000000}"/>
  <phoneticPr fontId="3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1F4E79"/>
  </sheetPr>
  <dimension ref="A1:D16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22" customWidth="1"/>
    <col min="2" max="4" width="14" customWidth="1"/>
  </cols>
  <sheetData>
    <row r="1" spans="1:4" ht="21.95" customHeight="1">
      <c r="A1" s="1" t="s">
        <v>701</v>
      </c>
      <c r="B1" s="1" t="s">
        <v>702</v>
      </c>
      <c r="C1" s="1" t="s">
        <v>3</v>
      </c>
      <c r="D1" s="1" t="s">
        <v>703</v>
      </c>
    </row>
    <row r="2" spans="1:4" ht="16.5">
      <c r="A2" s="2" t="s">
        <v>704</v>
      </c>
      <c r="B2" s="4">
        <v>3</v>
      </c>
      <c r="C2" s="4">
        <v>3</v>
      </c>
      <c r="D2" s="2" t="b">
        <f>B2=C2</f>
        <v>1</v>
      </c>
    </row>
    <row r="3" spans="1:4" ht="16.5">
      <c r="A3" s="2" t="s">
        <v>705</v>
      </c>
      <c r="B3" s="4">
        <v>12</v>
      </c>
      <c r="C3" s="4">
        <v>12</v>
      </c>
      <c r="D3" s="2" t="b">
        <f>B3=C3</f>
        <v>1</v>
      </c>
    </row>
    <row r="4" spans="1:4" ht="16.5">
      <c r="A4" s="2" t="s">
        <v>4</v>
      </c>
      <c r="B4" s="4">
        <v>20</v>
      </c>
      <c r="C4" s="4">
        <v>20</v>
      </c>
      <c r="D4" s="2" t="b">
        <f>B4=C4</f>
        <v>1</v>
      </c>
    </row>
    <row r="5" spans="1:4" ht="16.5">
      <c r="A5" s="2" t="s">
        <v>34</v>
      </c>
      <c r="B5" s="4">
        <v>20</v>
      </c>
      <c r="C5" s="4">
        <v>20</v>
      </c>
      <c r="D5" s="2" t="b">
        <f>B5=C5</f>
        <v>1</v>
      </c>
    </row>
    <row r="6" spans="1:4" ht="16.5">
      <c r="A6" s="2" t="s">
        <v>706</v>
      </c>
      <c r="B6" s="4">
        <v>30</v>
      </c>
      <c r="C6" s="4">
        <v>30</v>
      </c>
      <c r="D6" s="2" t="b">
        <f>B6&gt;=C6</f>
        <v>1</v>
      </c>
    </row>
    <row r="7" spans="1:4" ht="16.5">
      <c r="A7" s="2" t="s">
        <v>707</v>
      </c>
      <c r="B7" s="4">
        <v>30</v>
      </c>
      <c r="C7" s="4">
        <v>30</v>
      </c>
      <c r="D7" s="2" t="b">
        <f>B7&gt;=C7</f>
        <v>1</v>
      </c>
    </row>
    <row r="8" spans="1:4" ht="16.5">
      <c r="A8" s="2" t="s">
        <v>708</v>
      </c>
      <c r="B8" s="4">
        <v>30</v>
      </c>
      <c r="C8" s="4">
        <v>30</v>
      </c>
      <c r="D8" s="2" t="b">
        <f>B8&gt;=C8</f>
        <v>1</v>
      </c>
    </row>
    <row r="9" spans="1:4" ht="16.5">
      <c r="A9" s="2" t="s">
        <v>709</v>
      </c>
      <c r="B9" s="4">
        <v>12</v>
      </c>
      <c r="C9" s="4">
        <v>12</v>
      </c>
      <c r="D9" s="2" t="b">
        <f>B9&gt;=C9</f>
        <v>1</v>
      </c>
    </row>
    <row r="10" spans="1:4" ht="16.5">
      <c r="A10" s="2" t="s">
        <v>710</v>
      </c>
      <c r="B10" s="4">
        <v>3</v>
      </c>
      <c r="C10" s="4">
        <v>3</v>
      </c>
      <c r="D10" s="2" t="b">
        <f>B10=C10</f>
        <v>1</v>
      </c>
    </row>
    <row r="11" spans="1:4" ht="16.5">
      <c r="A11" s="2" t="s">
        <v>711</v>
      </c>
      <c r="B11" s="4">
        <v>0</v>
      </c>
      <c r="C11" s="4">
        <v>0</v>
      </c>
      <c r="D11" s="2" t="b">
        <f>B11=C11</f>
        <v>1</v>
      </c>
    </row>
    <row r="12" spans="1:4" ht="16.5">
      <c r="A12" s="2" t="s">
        <v>266</v>
      </c>
      <c r="B12" s="4">
        <v>5</v>
      </c>
      <c r="C12" s="4">
        <v>1</v>
      </c>
      <c r="D12" s="2" t="b">
        <f>B12&gt;=C12</f>
        <v>1</v>
      </c>
    </row>
    <row r="13" spans="1:4" ht="16.5">
      <c r="A13" s="2" t="s">
        <v>262</v>
      </c>
      <c r="B13" s="4">
        <v>6</v>
      </c>
      <c r="C13" s="4">
        <v>1</v>
      </c>
      <c r="D13" s="2" t="b">
        <f>B13&gt;=C13</f>
        <v>1</v>
      </c>
    </row>
    <row r="14" spans="1:4" ht="16.5">
      <c r="A14" s="2" t="s">
        <v>712</v>
      </c>
      <c r="B14" s="4">
        <v>12</v>
      </c>
      <c r="C14" s="4">
        <v>1</v>
      </c>
      <c r="D14" s="2" t="b">
        <f>B14&gt;=C14</f>
        <v>1</v>
      </c>
    </row>
    <row r="15" spans="1:4" ht="16.5">
      <c r="A15" s="2" t="s">
        <v>713</v>
      </c>
      <c r="B15" s="4">
        <v>12</v>
      </c>
      <c r="C15" s="4">
        <v>12</v>
      </c>
      <c r="D15" s="2" t="b">
        <f>B15&gt;=C15</f>
        <v>1</v>
      </c>
    </row>
    <row r="16" spans="1:4" ht="16.5">
      <c r="A16" s="2" t="s">
        <v>714</v>
      </c>
      <c r="B16" s="4">
        <v>8</v>
      </c>
      <c r="C16" s="4">
        <v>8</v>
      </c>
      <c r="D16" s="2" t="b">
        <f>B16=C16</f>
        <v>1</v>
      </c>
    </row>
  </sheetData>
  <autoFilter ref="A1:D16" xr:uid="{00000000-0009-0000-0000-000013000000}"/>
  <phoneticPr fontId="3" type="noConversion"/>
  <conditionalFormatting sqref="D2:D20">
    <cfRule type="expression" dxfId="1" priority="1">
      <formula>D2=TRUE</formula>
    </cfRule>
    <cfRule type="expression" dxfId="0" priority="2">
      <formula>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总览</vt:lpstr>
      <vt:lpstr>宠物形态</vt:lpstr>
      <vt:lpstr>进化链与消耗</vt:lpstr>
      <vt:lpstr>等级曲线</vt:lpstr>
      <vt:lpstr>统一物品</vt:lpstr>
      <vt:lpstr>货币与经济</vt:lpstr>
      <vt:lpstr>常规商店</vt:lpstr>
      <vt:lpstr>赛季商店</vt:lpstr>
      <vt:lpstr>地图与区域</vt:lpstr>
      <vt:lpstr>怪物</vt:lpstr>
      <vt:lpstr>技能</vt:lpstr>
      <vt:lpstr>装备模板</vt:lpstr>
      <vt:lpstr>词条池</vt:lpstr>
      <vt:lpstr>配方与分解</vt:lpstr>
      <vt:lpstr>掉落池</vt:lpstr>
      <vt:lpstr>70天活动</vt:lpstr>
      <vt:lpstr>20档奖励轨</vt:lpstr>
      <vt:lpstr>模拟结果</vt:lpstr>
      <vt:lpstr>资产需求</vt:lpstr>
      <vt:lpstr>校验结果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admin@kassama.top</cp:lastModifiedBy>
  <dcterms:created xsi:type="dcterms:W3CDTF">2026-08-26T09:31:55Z</dcterms:created>
  <dcterms:modified xsi:type="dcterms:W3CDTF">2026-08-26T09:31:58Z</dcterms:modified>
</cp:coreProperties>
</file>